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Sales" sheetId="2" state="visible" r:id="rId4"/>
    <sheet name="Expenses" sheetId="3" state="visible" r:id="rId5"/>
    <sheet name="Assets &amp; Depreciation" sheetId="4" state="visible" r:id="rId6"/>
    <sheet name="Summar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<sst xmlns="http://schemas.openxmlformats.org/spreadsheetml/2006/main" count="112" uniqueCount="94">
  <si>
    <t xml:space="preserve">2026 Farming Ventures — Costs &amp; Profits</t>
  </si>
  <si>
    <t xml:space="preserve">Income Statement (P&amp;L)   •   Season 2026</t>
  </si>
  <si>
    <t xml:space="preserve">Yellow = type here.  White = auto-calculated.  Crop sales pull from the Sales tab; every expense line pulls from the Expenses tab. Use the No Crop column for costs not tied to a crop (repairs, overhead). The TOTAL column counts every logged cost. Rename Crop 2 / Crop 3 below and pick the same names in the logs.</t>
  </si>
  <si>
    <t xml:space="preserve">ITEM</t>
  </si>
  <si>
    <t xml:space="preserve">Soybeans</t>
  </si>
  <si>
    <t xml:space="preserve">Corn</t>
  </si>
  <si>
    <t xml:space="preserve">Hay</t>
  </si>
  <si>
    <t xml:space="preserve">No Crop</t>
  </si>
  <si>
    <t xml:space="preserve">TOTAL (all crops)</t>
  </si>
  <si>
    <t xml:space="preserve">PRODUCTION</t>
  </si>
  <si>
    <t xml:space="preserve">Acres planted</t>
  </si>
  <si>
    <t xml:space="preserve">Total production (units harvested)</t>
  </si>
  <si>
    <t xml:space="preserve">REVENUE</t>
  </si>
  <si>
    <t xml:space="preserve">Crop sales  (from Sales tab)</t>
  </si>
  <si>
    <t xml:space="preserve">Government payments</t>
  </si>
  <si>
    <t xml:space="preserve">Crop insurance proceeds</t>
  </si>
  <si>
    <t xml:space="preserve">Other farm income</t>
  </si>
  <si>
    <t xml:space="preserve">TOTAL REVENUE</t>
  </si>
  <si>
    <t xml:space="preserve">OPERATING (VARIABLE) EXPENSES</t>
  </si>
  <si>
    <t xml:space="preserve">Seed</t>
  </si>
  <si>
    <t xml:space="preserve">Fertilizer &amp; lime</t>
  </si>
  <si>
    <t xml:space="preserve">Chemicals (herbicide / pesticide)</t>
  </si>
  <si>
    <t xml:space="preserve">Crop insurance premiums</t>
  </si>
  <si>
    <t xml:space="preserve">Fuel &amp; oil</t>
  </si>
  <si>
    <t xml:space="preserve">Custom hire / machine work</t>
  </si>
  <si>
    <t xml:space="preserve">Repairs &amp; maintenance</t>
  </si>
  <si>
    <t xml:space="preserve">Drying &amp; storage</t>
  </si>
  <si>
    <t xml:space="preserve">Hauling / trucking</t>
  </si>
  <si>
    <t xml:space="preserve">Hired labor</t>
  </si>
  <si>
    <t xml:space="preserve">Land rent / lease</t>
  </si>
  <si>
    <t xml:space="preserve">Operating loan interest</t>
  </si>
  <si>
    <t xml:space="preserve">Supplies &amp; miscellaneous</t>
  </si>
  <si>
    <t xml:space="preserve">TOTAL OPERATING EXPENSES</t>
  </si>
  <si>
    <t xml:space="preserve">GROSS MARGIN  (Revenue − Operating)</t>
  </si>
  <si>
    <t xml:space="preserve">FIXED / OVERHEAD EXPENSES</t>
  </si>
  <si>
    <t xml:space="preserve">Property / land taxes</t>
  </si>
  <si>
    <t xml:space="preserve">Farm &amp; liability insurance</t>
  </si>
  <si>
    <t xml:space="preserve">Depreciation (equipment &amp; buildings)</t>
  </si>
  <si>
    <t xml:space="preserve">Term loan interest</t>
  </si>
  <si>
    <t xml:space="preserve">Other overhead</t>
  </si>
  <si>
    <t xml:space="preserve">TOTAL FIXED EXPENSES</t>
  </si>
  <si>
    <t xml:space="preserve">NET PROFIT / (LOSS)</t>
  </si>
  <si>
    <t xml:space="preserve">PER-ACRE METRICS</t>
  </si>
  <si>
    <t xml:space="preserve">Revenue per acre</t>
  </si>
  <si>
    <t xml:space="preserve">Total cost per acre</t>
  </si>
  <si>
    <t xml:space="preserve">Profit per acre</t>
  </si>
  <si>
    <t xml:space="preserve">Breakeven price per unit</t>
  </si>
  <si>
    <t xml:space="preserve">Sales Log — 2026</t>
  </si>
  <si>
    <t xml:space="preserve">▼ Crop list (do not delete)</t>
  </si>
  <si>
    <t xml:space="preserve">Date</t>
  </si>
  <si>
    <t xml:space="preserve">Crop</t>
  </si>
  <si>
    <t xml:space="preserve">Buyer / Market</t>
  </si>
  <si>
    <t xml:space="preserve">Quantity (units)</t>
  </si>
  <si>
    <t xml:space="preserve">Price / unit ($)</t>
  </si>
  <si>
    <t xml:space="preserve">Amount ($)</t>
  </si>
  <si>
    <t xml:space="preserve">Notes</t>
  </si>
  <si>
    <t xml:space="preserve">TOTAL SALES</t>
  </si>
  <si>
    <t xml:space="preserve">Expense Log — 2026</t>
  </si>
  <si>
    <t xml:space="preserve">Category</t>
  </si>
  <si>
    <t xml:space="preserve">Vendor</t>
  </si>
  <si>
    <t xml:space="preserve">Troy Crispen</t>
  </si>
  <si>
    <t xml:space="preserve">Planted 06/04/26 Whiteside Road</t>
  </si>
  <si>
    <t xml:space="preserve">Planted 06/06/26 Straub Road</t>
  </si>
  <si>
    <t xml:space="preserve">Power Steering Hose</t>
  </si>
  <si>
    <t xml:space="preserve">TOTAL EXPENSES</t>
  </si>
  <si>
    <t xml:space="preserve">COST-CAPTURE CHECK</t>
  </si>
  <si>
    <t xml:space="preserve">Captured by the P&amp;L expense lines</t>
  </si>
  <si>
    <t xml:space="preserve">Unmatched vs logged total — should be $0</t>
  </si>
  <si>
    <t xml:space="preserve">If “Unmatched” is not $0, a logged cost has a Category that is not one of the P&amp;L expense lines, so the farm totals are not counting it — fix that row’s Category.</t>
  </si>
  <si>
    <t xml:space="preserve">Assets &amp; Depreciation (straight-line)</t>
  </si>
  <si>
    <t xml:space="preserve">Annual depreciation = (Cost − Salvage) ÷ Useful life. Log the TOTAL below as a “Depreciation” expense in the Expenses tab.</t>
  </si>
  <si>
    <t xml:space="preserve">Item / Equipment</t>
  </si>
  <si>
    <t xml:space="preserve">Purchase date</t>
  </si>
  <si>
    <t xml:space="preserve">Cost ($)</t>
  </si>
  <si>
    <t xml:space="preserve">Salvage value ($)</t>
  </si>
  <si>
    <t xml:space="preserve">Useful life (yrs)</t>
  </si>
  <si>
    <t xml:space="preserve">Annual depreciation ($)</t>
  </si>
  <si>
    <t xml:space="preserve">Accumulated to date ($)</t>
  </si>
  <si>
    <t xml:space="preserve">TOTAL ANNUAL DEPRECIATION</t>
  </si>
  <si>
    <t xml:space="preserve">2026 Farm Summary — Dashboard</t>
  </si>
  <si>
    <t xml:space="preserve">Live snapshot pulled from the P&amp;L tab.</t>
  </si>
  <si>
    <t xml:space="preserve">WHOLE-FARM TOTALS</t>
  </si>
  <si>
    <t xml:space="preserve">Total revenue</t>
  </si>
  <si>
    <t xml:space="preserve">Total operating expenses</t>
  </si>
  <si>
    <t xml:space="preserve">Total fixed expenses</t>
  </si>
  <si>
    <t xml:space="preserve">Net profit / (loss)</t>
  </si>
  <si>
    <t xml:space="preserve">Profit margin</t>
  </si>
  <si>
    <t xml:space="preserve">PRODUCTIVITY</t>
  </si>
  <si>
    <t xml:space="preserve">Total acres planted</t>
  </si>
  <si>
    <t xml:space="preserve">BY CROP</t>
  </si>
  <si>
    <t xml:space="preserve">Revenue</t>
  </si>
  <si>
    <t xml:space="preserve">Total cost</t>
  </si>
  <si>
    <t xml:space="preserve">Net profit</t>
  </si>
  <si>
    <t xml:space="preserve">Profit / acre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</si>
</sst>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[&lt;0]\([$$-409]#,##0.00\);[$$-409]#,##0.00"/>
    <numFmt numFmtId="167" formatCode="yyyy\-mm\-dd"/>
    <numFmt numFmtId="168" formatCode="0.0%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2"/>
    </font>
    <font>
      <b val="true"/>
      <sz val="11"/>
      <color rgb="FF44546A"/>
      <name val="Arial"/>
      <family val="2"/>
    </font>
    <font>
      <i val="true"/>
      <sz val="9"/>
      <color rgb="FF80808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1F3864"/>
      <name val="Arial"/>
      <family val="2"/>
    </font>
    <font>
      <b val="true"/>
      <sz val="10"/>
      <name val="Arial"/>
      <family val="2"/>
    </font>
    <font>
      <b val="true"/>
      <sz val="12"/>
      <name val="Arial"/>
      <family val="2"/>
    </font>
    <font>
      <i val="true"/>
      <sz val="8"/>
      <color rgb="FFAAAAAA"/>
      <name val="Arial"/>
      <family val="2"/>
    </font>
    <font>
      <sz val="9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44546A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/>
      <right/>
      <top style="hair">
        <color rgb="FF8EA9DB"/>
      </top>
      <bottom style="hair">
        <color rgb="FF8EA9DB"/>
      </bottom>
      <diagonal/>
    </border>
    <border diagonalUp="false" diagonalDown="false">
      <left style="hair">
        <color rgb="FFD6B656"/>
      </left>
      <right style="hair">
        <color rgb="FFD6B656"/>
      </right>
      <top style="hair">
        <color rgb="FFD6B656"/>
      </top>
      <bottom style="hair">
        <color rgb="FFD6B656"/>
      </bottom>
      <diagonal/>
    </border>
    <border diagonalUp="false" diagonalDown="false">
      <left/>
      <right/>
      <top style="hair">
        <color rgb="FF404040"/>
      </top>
      <bottom/>
      <diagonal/>
    </border>
    <border diagonalUp="false" diagonalDown="false">
      <left/>
      <right/>
      <top style="hair">
        <color rgb="FF538135"/>
      </top>
      <bottom style="hair">
        <color rgb="FF538135"/>
      </bottom>
      <diagonal/>
    </border>
    <border diagonalUp="false" diagonalDown="false"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6B656"/>
      <rgbColor rgb="FF3366FF"/>
      <rgbColor rgb="FF33CCCC"/>
      <rgbColor rgb="FF99CC00"/>
      <rgbColor rgb="FFFFCC00"/>
      <rgbColor rgb="FFFF9900"/>
      <rgbColor rgb="FFFF6600"/>
      <rgbColor rgb="FF44546A"/>
      <rgbColor rgb="FFAAAAAA"/>
      <rgbColor rgb="FF1F3864"/>
      <rgbColor rgb="FF538135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7" activeCellId="0" sqref="B4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82"/>
    <col collapsed="false" customWidth="true" hidden="false" outlineLevel="0" max="6" min="2" style="0" width="17.37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2.8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2.8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2.8" hidden="false" customHeight="false" outlineLevel="0" collapsed="false">
      <c r="A6" s="6" t="s">
        <v>9</v>
      </c>
      <c r="B6" s="6"/>
      <c r="C6" s="6"/>
      <c r="D6" s="6"/>
      <c r="E6" s="6"/>
      <c r="F6" s="6"/>
    </row>
    <row r="7" customFormat="false" ht="12.8" hidden="false" customHeight="false" outlineLevel="0" collapsed="false">
      <c r="A7" s="0" t="s">
        <v>10</v>
      </c>
      <c r="B7" s="7" t="n">
        <v>26</v>
      </c>
      <c r="C7" s="7"/>
      <c r="D7" s="7"/>
      <c r="E7" s="8"/>
      <c r="F7" s="9" t="n">
        <f aca="false">SUM(B7:E7)</f>
        <v>26</v>
      </c>
    </row>
    <row r="8" customFormat="false" ht="12.8" hidden="false" customHeight="false" outlineLevel="0" collapsed="false">
      <c r="A8" s="0" t="s">
        <v>11</v>
      </c>
      <c r="B8" s="7" t="n">
        <v>0</v>
      </c>
      <c r="C8" s="7"/>
      <c r="D8" s="7"/>
      <c r="E8" s="8"/>
      <c r="F8" s="9" t="n">
        <f aca="false">SUM(B8:E8)</f>
        <v>0</v>
      </c>
    </row>
    <row r="10" customFormat="false" ht="12.8" hidden="false" customHeight="false" outlineLevel="0" collapsed="false">
      <c r="A10" s="6" t="s">
        <v>12</v>
      </c>
      <c r="B10" s="6"/>
      <c r="C10" s="6"/>
      <c r="D10" s="6"/>
      <c r="E10" s="6"/>
      <c r="F10" s="6"/>
    </row>
    <row r="11" customFormat="false" ht="12.8" hidden="false" customHeight="false" outlineLevel="0" collapsed="false">
      <c r="A11" s="0" t="s">
        <v>13</v>
      </c>
      <c r="B11" s="10" t="n">
        <f aca="false">SUMIF(Sales!B3:B62,B5,Sales!F3:F62)</f>
        <v>0</v>
      </c>
      <c r="C11" s="10" t="n">
        <f aca="false">SUMIF(Sales!B3:B62,C5,Sales!F3:F62)</f>
        <v>0</v>
      </c>
      <c r="D11" s="10" t="n">
        <f aca="false">SUMIF(Sales!B3:B62,D5,Sales!F3:F62)</f>
        <v>0</v>
      </c>
      <c r="E11" s="10" t="n">
        <f aca="false">SUMIF(Sales!B3:B62,E5,Sales!F3:F62)</f>
        <v>0</v>
      </c>
      <c r="F11" s="11" t="n">
        <f aca="false">SUM(B11:E11)</f>
        <v>0</v>
      </c>
    </row>
    <row r="12" customFormat="false" ht="12.8" hidden="false" customHeight="false" outlineLevel="0" collapsed="false">
      <c r="A12" s="0" t="s">
        <v>14</v>
      </c>
      <c r="B12" s="12"/>
      <c r="C12" s="12"/>
      <c r="D12" s="12"/>
      <c r="E12" s="12"/>
      <c r="F12" s="11" t="n">
        <f aca="false">SUM(B12:E12)</f>
        <v>0</v>
      </c>
    </row>
    <row r="13" customFormat="false" ht="12.8" hidden="false" customHeight="false" outlineLevel="0" collapsed="false">
      <c r="A13" s="0" t="s">
        <v>15</v>
      </c>
      <c r="B13" s="12"/>
      <c r="C13" s="12"/>
      <c r="D13" s="12"/>
      <c r="E13" s="12"/>
      <c r="F13" s="11" t="n">
        <f aca="false">SUM(B13:E13)</f>
        <v>0</v>
      </c>
    </row>
    <row r="14" customFormat="false" ht="12.8" hidden="false" customHeight="false" outlineLevel="0" collapsed="false">
      <c r="A14" s="0" t="s">
        <v>16</v>
      </c>
      <c r="B14" s="12"/>
      <c r="C14" s="12"/>
      <c r="D14" s="12"/>
      <c r="E14" s="12"/>
      <c r="F14" s="11" t="n">
        <f aca="false">SUM(B14:E14)</f>
        <v>0</v>
      </c>
    </row>
    <row r="15" customFormat="false" ht="12.8" hidden="false" customHeight="false" outlineLevel="0" collapsed="false">
      <c r="A15" s="13" t="s">
        <v>17</v>
      </c>
      <c r="B15" s="14" t="n">
        <f aca="false">SUM(B11:B14)</f>
        <v>0</v>
      </c>
      <c r="C15" s="14" t="n">
        <f aca="false">SUM(C11:C14)</f>
        <v>0</v>
      </c>
      <c r="D15" s="14" t="n">
        <f aca="false">SUM(D11:D14)</f>
        <v>0</v>
      </c>
      <c r="E15" s="14" t="n">
        <f aca="false">SUM(E11:E14)</f>
        <v>0</v>
      </c>
      <c r="F15" s="14" t="n">
        <f aca="false">SUM(B15:E15)</f>
        <v>0</v>
      </c>
    </row>
    <row r="17" customFormat="false" ht="12.8" hidden="false" customHeight="false" outlineLevel="0" collapsed="false">
      <c r="A17" s="6" t="s">
        <v>18</v>
      </c>
      <c r="B17" s="6"/>
      <c r="C17" s="6"/>
      <c r="D17" s="6"/>
      <c r="E17" s="6"/>
      <c r="F17" s="6"/>
    </row>
    <row r="18" customFormat="false" ht="12.8" hidden="false" customHeight="false" outlineLevel="0" collapsed="false">
      <c r="A18" s="0" t="s">
        <v>19</v>
      </c>
      <c r="B18" s="10" t="n">
        <f aca="false">SUMIFS(Expenses!E3:E82,Expenses!C3:C82,A18,Expenses!B3:B82,B5)</f>
        <v>2025</v>
      </c>
      <c r="C18" s="10" t="n">
        <f aca="false">SUMIFS(Expenses!E3:E82,Expenses!C3:C82,A18,Expenses!B3:B82,C5)</f>
        <v>0</v>
      </c>
      <c r="D18" s="10" t="n">
        <f aca="false">SUMIFS(Expenses!E3:E82,Expenses!C3:C82,A18,Expenses!B3:B82,D5)</f>
        <v>0</v>
      </c>
      <c r="E18" s="10" t="n">
        <f aca="false">SUMIFS(Expenses!E3:E82,Expenses!C3:C82,A18,Expenses!B3:B82,E5)</f>
        <v>0</v>
      </c>
      <c r="F18" s="11" t="n">
        <f aca="false">SUMIF(Expenses!C3:C82,A18,Expenses!E3:E82)</f>
        <v>2025</v>
      </c>
    </row>
    <row r="19" customFormat="false" ht="12.8" hidden="false" customHeight="false" outlineLevel="0" collapsed="false">
      <c r="A19" s="0" t="s">
        <v>20</v>
      </c>
      <c r="B19" s="10" t="n">
        <f aca="false">SUMIFS(Expenses!E3:E82,Expenses!C3:C82,A19,Expenses!B3:B82,B5)</f>
        <v>0</v>
      </c>
      <c r="C19" s="10" t="n">
        <f aca="false">SUMIFS(Expenses!E3:E82,Expenses!C3:C82,A19,Expenses!B3:B82,C5)</f>
        <v>0</v>
      </c>
      <c r="D19" s="10" t="n">
        <f aca="false">SUMIFS(Expenses!E3:E82,Expenses!C3:C82,A19,Expenses!B3:B82,D5)</f>
        <v>0</v>
      </c>
      <c r="E19" s="10" t="n">
        <f aca="false">SUMIFS(Expenses!E3:E82,Expenses!C3:C82,A19,Expenses!B3:B82,E5)</f>
        <v>0</v>
      </c>
      <c r="F19" s="11" t="n">
        <f aca="false">SUMIF(Expenses!C3:C82,A19,Expenses!E3:E82)</f>
        <v>0</v>
      </c>
    </row>
    <row r="20" customFormat="false" ht="12.8" hidden="false" customHeight="false" outlineLevel="0" collapsed="false">
      <c r="A20" s="0" t="s">
        <v>21</v>
      </c>
      <c r="B20" s="10" t="n">
        <f aca="false">SUMIFS(Expenses!E3:E82,Expenses!C3:C82,A20,Expenses!B3:B82,B5)</f>
        <v>0</v>
      </c>
      <c r="C20" s="10" t="n">
        <f aca="false">SUMIFS(Expenses!E3:E82,Expenses!C3:C82,A20,Expenses!B3:B82,C5)</f>
        <v>0</v>
      </c>
      <c r="D20" s="10" t="n">
        <f aca="false">SUMIFS(Expenses!E3:E82,Expenses!C3:C82,A20,Expenses!B3:B82,D5)</f>
        <v>0</v>
      </c>
      <c r="E20" s="10" t="n">
        <f aca="false">SUMIFS(Expenses!E3:E82,Expenses!C3:C82,A20,Expenses!B3:B82,E5)</f>
        <v>0</v>
      </c>
      <c r="F20" s="11" t="n">
        <f aca="false">SUMIF(Expenses!C3:C82,A20,Expenses!E3:E82)</f>
        <v>0</v>
      </c>
    </row>
    <row r="21" customFormat="false" ht="12.8" hidden="false" customHeight="false" outlineLevel="0" collapsed="false">
      <c r="A21" s="0" t="s">
        <v>22</v>
      </c>
      <c r="B21" s="10" t="n">
        <f aca="false">SUMIFS(Expenses!E3:E82,Expenses!C3:C82,A21,Expenses!B3:B82,B5)</f>
        <v>0</v>
      </c>
      <c r="C21" s="10" t="n">
        <f aca="false">SUMIFS(Expenses!E3:E82,Expenses!C3:C82,A21,Expenses!B3:B82,C5)</f>
        <v>0</v>
      </c>
      <c r="D21" s="10" t="n">
        <f aca="false">SUMIFS(Expenses!E3:E82,Expenses!C3:C82,A21,Expenses!B3:B82,D5)</f>
        <v>0</v>
      </c>
      <c r="E21" s="10" t="n">
        <f aca="false">SUMIFS(Expenses!E3:E82,Expenses!C3:C82,A21,Expenses!B3:B82,E5)</f>
        <v>0</v>
      </c>
      <c r="F21" s="11" t="n">
        <f aca="false">SUMIF(Expenses!C3:C82,A21,Expenses!E3:E82)</f>
        <v>0</v>
      </c>
    </row>
    <row r="22" customFormat="false" ht="12.8" hidden="false" customHeight="false" outlineLevel="0" collapsed="false">
      <c r="A22" s="0" t="s">
        <v>23</v>
      </c>
      <c r="B22" s="10" t="n">
        <f aca="false">SUMIFS(Expenses!E3:E82,Expenses!C3:C82,A22,Expenses!B3:B82,B5)</f>
        <v>0</v>
      </c>
      <c r="C22" s="10" t="n">
        <f aca="false">SUMIFS(Expenses!E3:E82,Expenses!C3:C82,A22,Expenses!B3:B82,C5)</f>
        <v>0</v>
      </c>
      <c r="D22" s="10" t="n">
        <f aca="false">SUMIFS(Expenses!E3:E82,Expenses!C3:C82,A22,Expenses!B3:B82,D5)</f>
        <v>0</v>
      </c>
      <c r="E22" s="10" t="n">
        <f aca="false">SUMIFS(Expenses!E3:E82,Expenses!C3:C82,A22,Expenses!B3:B82,E5)</f>
        <v>0</v>
      </c>
      <c r="F22" s="11" t="n">
        <f aca="false">SUMIF(Expenses!C3:C82,A22,Expenses!E3:E82)</f>
        <v>0</v>
      </c>
    </row>
    <row r="23" customFormat="false" ht="12.8" hidden="false" customHeight="false" outlineLevel="0" collapsed="false">
      <c r="A23" s="0" t="s">
        <v>24</v>
      </c>
      <c r="B23" s="10" t="n">
        <f aca="false">SUMIFS(Expenses!E3:E82,Expenses!C3:C82,A23,Expenses!B3:B82,B5)</f>
        <v>0</v>
      </c>
      <c r="C23" s="10" t="n">
        <f aca="false">SUMIFS(Expenses!E3:E82,Expenses!C3:C82,A23,Expenses!B3:B82,C5)</f>
        <v>0</v>
      </c>
      <c r="D23" s="10" t="n">
        <f aca="false">SUMIFS(Expenses!E3:E82,Expenses!C3:C82,A23,Expenses!B3:B82,D5)</f>
        <v>0</v>
      </c>
      <c r="E23" s="10" t="n">
        <f aca="false">SUMIFS(Expenses!E3:E82,Expenses!C3:C82,A23,Expenses!B3:B82,E5)</f>
        <v>0</v>
      </c>
      <c r="F23" s="11" t="n">
        <f aca="false">SUMIF(Expenses!C3:C82,A23,Expenses!E3:E82)</f>
        <v>0</v>
      </c>
    </row>
    <row r="24" customFormat="false" ht="12.8" hidden="false" customHeight="false" outlineLevel="0" collapsed="false">
      <c r="A24" s="0" t="s">
        <v>25</v>
      </c>
      <c r="B24" s="10" t="n">
        <f aca="false">SUMIFS(Expenses!E3:E82,Expenses!C3:C82,A24,Expenses!B3:B82,B5)</f>
        <v>0</v>
      </c>
      <c r="C24" s="10" t="n">
        <f aca="false">SUMIFS(Expenses!E3:E82,Expenses!C3:C82,A24,Expenses!B3:B82,C5)</f>
        <v>0</v>
      </c>
      <c r="D24" s="10" t="n">
        <f aca="false">SUMIFS(Expenses!E3:E82,Expenses!C3:C82,A24,Expenses!B3:B82,D5)</f>
        <v>0</v>
      </c>
      <c r="E24" s="10" t="n">
        <f aca="false">SUMIFS(Expenses!E3:E82,Expenses!C3:C82,A24,Expenses!B3:B82,E5)</f>
        <v>15</v>
      </c>
      <c r="F24" s="11" t="n">
        <f aca="false">SUMIF(Expenses!C3:C82,A24,Expenses!E3:E82)</f>
        <v>15</v>
      </c>
    </row>
    <row r="25" customFormat="false" ht="12.8" hidden="false" customHeight="false" outlineLevel="0" collapsed="false">
      <c r="A25" s="0" t="s">
        <v>26</v>
      </c>
      <c r="B25" s="10" t="n">
        <f aca="false">SUMIFS(Expenses!E3:E82,Expenses!C3:C82,A25,Expenses!B3:B82,B5)</f>
        <v>0</v>
      </c>
      <c r="C25" s="10" t="n">
        <f aca="false">SUMIFS(Expenses!E3:E82,Expenses!C3:C82,A25,Expenses!B3:B82,C5)</f>
        <v>0</v>
      </c>
      <c r="D25" s="10" t="n">
        <f aca="false">SUMIFS(Expenses!E3:E82,Expenses!C3:C82,A25,Expenses!B3:B82,D5)</f>
        <v>0</v>
      </c>
      <c r="E25" s="10" t="n">
        <f aca="false">SUMIFS(Expenses!E3:E82,Expenses!C3:C82,A25,Expenses!B3:B82,E5)</f>
        <v>0</v>
      </c>
      <c r="F25" s="11" t="n">
        <f aca="false">SUMIF(Expenses!C3:C82,A25,Expenses!E3:E82)</f>
        <v>0</v>
      </c>
    </row>
    <row r="26" customFormat="false" ht="12.8" hidden="false" customHeight="false" outlineLevel="0" collapsed="false">
      <c r="A26" s="0" t="s">
        <v>27</v>
      </c>
      <c r="B26" s="10" t="n">
        <f aca="false">SUMIFS(Expenses!E3:E82,Expenses!C3:C82,A26,Expenses!B3:B82,B5)</f>
        <v>0</v>
      </c>
      <c r="C26" s="10" t="n">
        <f aca="false">SUMIFS(Expenses!E3:E82,Expenses!C3:C82,A26,Expenses!B3:B82,C5)</f>
        <v>0</v>
      </c>
      <c r="D26" s="10" t="n">
        <f aca="false">SUMIFS(Expenses!E3:E82,Expenses!C3:C82,A26,Expenses!B3:B82,D5)</f>
        <v>0</v>
      </c>
      <c r="E26" s="10" t="n">
        <f aca="false">SUMIFS(Expenses!E3:E82,Expenses!C3:C82,A26,Expenses!B3:B82,E5)</f>
        <v>0</v>
      </c>
      <c r="F26" s="11" t="n">
        <f aca="false">SUMIF(Expenses!C3:C82,A26,Expenses!E3:E82)</f>
        <v>0</v>
      </c>
    </row>
    <row r="27" customFormat="false" ht="12.8" hidden="false" customHeight="false" outlineLevel="0" collapsed="false">
      <c r="A27" s="0" t="s">
        <v>28</v>
      </c>
      <c r="B27" s="10" t="n">
        <f aca="false">SUMIFS(Expenses!E3:E82,Expenses!C3:C82,A27,Expenses!B3:B82,B5)</f>
        <v>0</v>
      </c>
      <c r="C27" s="10" t="n">
        <f aca="false">SUMIFS(Expenses!E3:E82,Expenses!C3:C82,A27,Expenses!B3:B82,C5)</f>
        <v>0</v>
      </c>
      <c r="D27" s="10" t="n">
        <f aca="false">SUMIFS(Expenses!E3:E82,Expenses!C3:C82,A27,Expenses!B3:B82,D5)</f>
        <v>0</v>
      </c>
      <c r="E27" s="10" t="n">
        <f aca="false">SUMIFS(Expenses!E3:E82,Expenses!C3:C82,A27,Expenses!B3:B82,E5)</f>
        <v>0</v>
      </c>
      <c r="F27" s="11" t="n">
        <f aca="false">SUMIF(Expenses!C3:C82,A27,Expenses!E3:E82)</f>
        <v>0</v>
      </c>
    </row>
    <row r="28" customFormat="false" ht="12.8" hidden="false" customHeight="false" outlineLevel="0" collapsed="false">
      <c r="A28" s="0" t="s">
        <v>29</v>
      </c>
      <c r="B28" s="10" t="n">
        <f aca="false">SUMIFS(Expenses!E3:E82,Expenses!C3:C82,A28,Expenses!B3:B82,B5)</f>
        <v>0</v>
      </c>
      <c r="C28" s="10" t="n">
        <f aca="false">SUMIFS(Expenses!E3:E82,Expenses!C3:C82,A28,Expenses!B3:B82,C5)</f>
        <v>0</v>
      </c>
      <c r="D28" s="10" t="n">
        <f aca="false">SUMIFS(Expenses!E3:E82,Expenses!C3:C82,A28,Expenses!B3:B82,D5)</f>
        <v>0</v>
      </c>
      <c r="E28" s="10" t="n">
        <f aca="false">SUMIFS(Expenses!E3:E82,Expenses!C3:C82,A28,Expenses!B3:B82,E5)</f>
        <v>0</v>
      </c>
      <c r="F28" s="11" t="n">
        <f aca="false">SUMIF(Expenses!C3:C82,A28,Expenses!E3:E82)</f>
        <v>0</v>
      </c>
    </row>
    <row r="29" customFormat="false" ht="12.8" hidden="false" customHeight="false" outlineLevel="0" collapsed="false">
      <c r="A29" s="0" t="s">
        <v>30</v>
      </c>
      <c r="B29" s="10" t="n">
        <f aca="false">SUMIFS(Expenses!E3:E82,Expenses!C3:C82,A29,Expenses!B3:B82,B5)</f>
        <v>0</v>
      </c>
      <c r="C29" s="10" t="n">
        <f aca="false">SUMIFS(Expenses!E3:E82,Expenses!C3:C82,A29,Expenses!B3:B82,C5)</f>
        <v>0</v>
      </c>
      <c r="D29" s="10" t="n">
        <f aca="false">SUMIFS(Expenses!E3:E82,Expenses!C3:C82,A29,Expenses!B3:B82,D5)</f>
        <v>0</v>
      </c>
      <c r="E29" s="10" t="n">
        <f aca="false">SUMIFS(Expenses!E3:E82,Expenses!C3:C82,A29,Expenses!B3:B82,E5)</f>
        <v>0</v>
      </c>
      <c r="F29" s="11" t="n">
        <f aca="false">SUMIF(Expenses!C3:C82,A29,Expenses!E3:E82)</f>
        <v>0</v>
      </c>
    </row>
    <row r="30" customFormat="false" ht="12.8" hidden="false" customHeight="false" outlineLevel="0" collapsed="false">
      <c r="A30" s="0" t="s">
        <v>31</v>
      </c>
      <c r="B30" s="10" t="n">
        <f aca="false">SUMIFS(Expenses!E3:E82,Expenses!C3:C82,A30,Expenses!B3:B82,B5)</f>
        <v>0</v>
      </c>
      <c r="C30" s="10" t="n">
        <f aca="false">SUMIFS(Expenses!E3:E82,Expenses!C3:C82,A30,Expenses!B3:B82,C5)</f>
        <v>0</v>
      </c>
      <c r="D30" s="10" t="n">
        <f aca="false">SUMIFS(Expenses!E3:E82,Expenses!C3:C82,A30,Expenses!B3:B82,D5)</f>
        <v>0</v>
      </c>
      <c r="E30" s="10" t="n">
        <f aca="false">SUMIFS(Expenses!E3:E82,Expenses!C3:C82,A30,Expenses!B3:B82,E5)</f>
        <v>0</v>
      </c>
      <c r="F30" s="11" t="n">
        <f aca="false">SUMIF(Expenses!C3:C82,A30,Expenses!E3:E82)</f>
        <v>0</v>
      </c>
    </row>
    <row r="31" customFormat="false" ht="12.8" hidden="false" customHeight="false" outlineLevel="0" collapsed="false">
      <c r="A31" s="13" t="s">
        <v>32</v>
      </c>
      <c r="B31" s="14" t="n">
        <f aca="false">SUM(B18:B30)</f>
        <v>2025</v>
      </c>
      <c r="C31" s="14" t="n">
        <f aca="false">SUM(C18:C30)</f>
        <v>0</v>
      </c>
      <c r="D31" s="14" t="n">
        <f aca="false">SUM(D18:D30)</f>
        <v>0</v>
      </c>
      <c r="E31" s="14" t="n">
        <f aca="false">SUM(E18:E30)</f>
        <v>15</v>
      </c>
      <c r="F31" s="14" t="n">
        <f aca="false">SUM(F18:F30)</f>
        <v>2040</v>
      </c>
    </row>
    <row r="33" customFormat="false" ht="12.8" hidden="false" customHeight="false" outlineLevel="0" collapsed="false">
      <c r="A33" s="13" t="s">
        <v>33</v>
      </c>
      <c r="B33" s="14" t="n">
        <f aca="false">B15-B31</f>
        <v>-2025</v>
      </c>
      <c r="C33" s="14" t="n">
        <f aca="false">C15-C31</f>
        <v>0</v>
      </c>
      <c r="D33" s="14" t="n">
        <f aca="false">D15-D31</f>
        <v>0</v>
      </c>
      <c r="E33" s="14" t="n">
        <f aca="false">E15-E31</f>
        <v>-15</v>
      </c>
      <c r="F33" s="14" t="n">
        <f aca="false">F15-F31</f>
        <v>-2040</v>
      </c>
    </row>
    <row r="35" customFormat="false" ht="12.8" hidden="false" customHeight="false" outlineLevel="0" collapsed="false">
      <c r="A35" s="6" t="s">
        <v>34</v>
      </c>
      <c r="B35" s="6"/>
      <c r="C35" s="6"/>
      <c r="D35" s="6"/>
      <c r="E35" s="6"/>
      <c r="F35" s="6"/>
    </row>
    <row r="36" customFormat="false" ht="12.8" hidden="false" customHeight="false" outlineLevel="0" collapsed="false">
      <c r="A36" s="0" t="s">
        <v>35</v>
      </c>
      <c r="B36" s="10" t="n">
        <f aca="false">SUMIFS(Expenses!E3:E82,Expenses!C3:C82,A36,Expenses!B3:B82,B5)</f>
        <v>0</v>
      </c>
      <c r="C36" s="10" t="n">
        <f aca="false">SUMIFS(Expenses!E3:E82,Expenses!C3:C82,A36,Expenses!B3:B82,C5)</f>
        <v>0</v>
      </c>
      <c r="D36" s="10" t="n">
        <f aca="false">SUMIFS(Expenses!E3:E82,Expenses!C3:C82,A36,Expenses!B3:B82,D5)</f>
        <v>0</v>
      </c>
      <c r="E36" s="10" t="n">
        <f aca="false">SUMIFS(Expenses!E3:E82,Expenses!C3:C82,A36,Expenses!B3:B82,E5)</f>
        <v>0</v>
      </c>
      <c r="F36" s="11" t="n">
        <f aca="false">SUMIF(Expenses!C3:C82,A36,Expenses!E3:E82)</f>
        <v>0</v>
      </c>
    </row>
    <row r="37" customFormat="false" ht="12.8" hidden="false" customHeight="false" outlineLevel="0" collapsed="false">
      <c r="A37" s="0" t="s">
        <v>36</v>
      </c>
      <c r="B37" s="10" t="n">
        <f aca="false">SUMIFS(Expenses!E3:E82,Expenses!C3:C82,A37,Expenses!B3:B82,B5)</f>
        <v>0</v>
      </c>
      <c r="C37" s="10" t="n">
        <f aca="false">SUMIFS(Expenses!E3:E82,Expenses!C3:C82,A37,Expenses!B3:B82,C5)</f>
        <v>0</v>
      </c>
      <c r="D37" s="10" t="n">
        <f aca="false">SUMIFS(Expenses!E3:E82,Expenses!C3:C82,A37,Expenses!B3:B82,D5)</f>
        <v>0</v>
      </c>
      <c r="E37" s="10" t="n">
        <f aca="false">SUMIFS(Expenses!E3:E82,Expenses!C3:C82,A37,Expenses!B3:B82,E5)</f>
        <v>0</v>
      </c>
      <c r="F37" s="11" t="n">
        <f aca="false">SUMIF(Expenses!C3:C82,A37,Expenses!E3:E82)</f>
        <v>0</v>
      </c>
    </row>
    <row r="38" customFormat="false" ht="12.8" hidden="false" customHeight="false" outlineLevel="0" collapsed="false">
      <c r="A38" s="0" t="s">
        <v>37</v>
      </c>
      <c r="B38" s="10" t="n">
        <f aca="false">SUMIFS(Expenses!E3:E82,Expenses!C3:C82,A38,Expenses!B3:B82,B5)</f>
        <v>0</v>
      </c>
      <c r="C38" s="10" t="n">
        <f aca="false">SUMIFS(Expenses!E3:E82,Expenses!C3:C82,A38,Expenses!B3:B82,C5)</f>
        <v>0</v>
      </c>
      <c r="D38" s="10" t="n">
        <f aca="false">SUMIFS(Expenses!E3:E82,Expenses!C3:C82,A38,Expenses!B3:B82,D5)</f>
        <v>0</v>
      </c>
      <c r="E38" s="10" t="n">
        <f aca="false">SUMIFS(Expenses!E3:E82,Expenses!C3:C82,A38,Expenses!B3:B82,E5)</f>
        <v>0</v>
      </c>
      <c r="F38" s="11" t="n">
        <f aca="false">SUMIF(Expenses!C3:C82,A38,Expenses!E3:E82)</f>
        <v>0</v>
      </c>
    </row>
    <row r="39" customFormat="false" ht="12.8" hidden="false" customHeight="false" outlineLevel="0" collapsed="false">
      <c r="A39" s="0" t="s">
        <v>38</v>
      </c>
      <c r="B39" s="10" t="n">
        <f aca="false">SUMIFS(Expenses!E3:E82,Expenses!C3:C82,A39,Expenses!B3:B82,B5)</f>
        <v>0</v>
      </c>
      <c r="C39" s="10" t="n">
        <f aca="false">SUMIFS(Expenses!E3:E82,Expenses!C3:C82,A39,Expenses!B3:B82,C5)</f>
        <v>0</v>
      </c>
      <c r="D39" s="10" t="n">
        <f aca="false">SUMIFS(Expenses!E3:E82,Expenses!C3:C82,A39,Expenses!B3:B82,D5)</f>
        <v>0</v>
      </c>
      <c r="E39" s="10" t="n">
        <f aca="false">SUMIFS(Expenses!E3:E82,Expenses!C3:C82,A39,Expenses!B3:B82,E5)</f>
        <v>0</v>
      </c>
      <c r="F39" s="11" t="n">
        <f aca="false">SUMIF(Expenses!C3:C82,A39,Expenses!E3:E82)</f>
        <v>0</v>
      </c>
    </row>
    <row r="40" customFormat="false" ht="12.8" hidden="false" customHeight="false" outlineLevel="0" collapsed="false">
      <c r="A40" s="0" t="s">
        <v>39</v>
      </c>
      <c r="B40" s="10" t="n">
        <f aca="false">SUMIFS(Expenses!E3:E82,Expenses!C3:C82,A40,Expenses!B3:B82,B5)</f>
        <v>0</v>
      </c>
      <c r="C40" s="10" t="n">
        <f aca="false">SUMIFS(Expenses!E3:E82,Expenses!C3:C82,A40,Expenses!B3:B82,C5)</f>
        <v>0</v>
      </c>
      <c r="D40" s="10" t="n">
        <f aca="false">SUMIFS(Expenses!E3:E82,Expenses!C3:C82,A40,Expenses!B3:B82,D5)</f>
        <v>0</v>
      </c>
      <c r="E40" s="10" t="n">
        <f aca="false">SUMIFS(Expenses!E3:E82,Expenses!C3:C82,A40,Expenses!B3:B82,E5)</f>
        <v>0</v>
      </c>
      <c r="F40" s="11" t="n">
        <f aca="false">SUMIF(Expenses!C3:C82,A40,Expenses!E3:E82)</f>
        <v>0</v>
      </c>
    </row>
    <row r="41" customFormat="false" ht="12.8" hidden="false" customHeight="false" outlineLevel="0" collapsed="false">
      <c r="A41" s="13" t="s">
        <v>40</v>
      </c>
      <c r="B41" s="14" t="n">
        <f aca="false">SUM(B36:B40)</f>
        <v>0</v>
      </c>
      <c r="C41" s="14" t="n">
        <f aca="false">SUM(C36:C40)</f>
        <v>0</v>
      </c>
      <c r="D41" s="14" t="n">
        <f aca="false">SUM(D36:D40)</f>
        <v>0</v>
      </c>
      <c r="E41" s="14" t="n">
        <f aca="false">SUM(E36:E40)</f>
        <v>0</v>
      </c>
      <c r="F41" s="14" t="n">
        <f aca="false">SUM(F36:F40)</f>
        <v>0</v>
      </c>
    </row>
    <row r="43" customFormat="false" ht="15" hidden="false" customHeight="false" outlineLevel="0" collapsed="false">
      <c r="A43" s="15" t="s">
        <v>41</v>
      </c>
      <c r="B43" s="16" t="n">
        <f aca="false">B15-B31-B41</f>
        <v>-2025</v>
      </c>
      <c r="C43" s="16" t="n">
        <f aca="false">C15-C31-C41</f>
        <v>0</v>
      </c>
      <c r="D43" s="16" t="n">
        <f aca="false">D15-D31-D41</f>
        <v>0</v>
      </c>
      <c r="E43" s="16" t="n">
        <f aca="false">E15-E31-E41</f>
        <v>-15</v>
      </c>
      <c r="F43" s="16" t="n">
        <f aca="false">F15-F31-F41</f>
        <v>-2040</v>
      </c>
    </row>
    <row r="45" customFormat="false" ht="12.8" hidden="false" customHeight="false" outlineLevel="0" collapsed="false">
      <c r="A45" s="6" t="s">
        <v>42</v>
      </c>
      <c r="B45" s="6"/>
      <c r="C45" s="6"/>
      <c r="D45" s="6"/>
      <c r="E45" s="6"/>
      <c r="F45" s="6"/>
    </row>
    <row r="46" customFormat="false" ht="12.8" hidden="false" customHeight="false" outlineLevel="0" collapsed="false">
      <c r="A46" s="0" t="s">
        <v>43</v>
      </c>
      <c r="B46" s="10" t="n">
        <f aca="false">IF(B7=0,0,B15/B7)</f>
        <v>0</v>
      </c>
      <c r="C46" s="10" t="n">
        <f aca="false">IF(C7=0,0,C15/C7)</f>
        <v>0</v>
      </c>
      <c r="D46" s="10" t="n">
        <f aca="false">IF(D7=0,0,D15/D7)</f>
        <v>0</v>
      </c>
      <c r="E46" s="10" t="n">
        <f aca="false">IF(E7=0,0,E15/E7)</f>
        <v>0</v>
      </c>
      <c r="F46" s="10" t="n">
        <f aca="false">IF(F7=0,0,F15/F7)</f>
        <v>0</v>
      </c>
    </row>
    <row r="47" customFormat="false" ht="12.8" hidden="false" customHeight="false" outlineLevel="0" collapsed="false">
      <c r="A47" s="0" t="s">
        <v>44</v>
      </c>
      <c r="B47" s="10" t="n">
        <f aca="false">IF(B7=0,0,(B31+B41)/B7)</f>
        <v>77.8846153846154</v>
      </c>
      <c r="C47" s="10" t="n">
        <f aca="false">IF(C7=0,0,(C31+C41)/C7)</f>
        <v>0</v>
      </c>
      <c r="D47" s="10" t="n">
        <f aca="false">IF(D7=0,0,(D31+D41)/D7)</f>
        <v>0</v>
      </c>
      <c r="E47" s="10" t="n">
        <f aca="false">IF(E7=0,0,(E31+E41)/E7)</f>
        <v>0</v>
      </c>
      <c r="F47" s="10" t="n">
        <f aca="false">IF(F7=0,0,(F31+F41)/F7)</f>
        <v>78.4615384615385</v>
      </c>
    </row>
    <row r="48" customFormat="false" ht="12.8" hidden="false" customHeight="false" outlineLevel="0" collapsed="false">
      <c r="A48" s="0" t="s">
        <v>45</v>
      </c>
      <c r="B48" s="10" t="n">
        <f aca="false">IF(B7=0,0,B43/B7)</f>
        <v>-77.8846153846154</v>
      </c>
      <c r="C48" s="10" t="n">
        <f aca="false">IF(C7=0,0,C43/C7)</f>
        <v>0</v>
      </c>
      <c r="D48" s="10" t="n">
        <f aca="false">IF(D7=0,0,D43/D7)</f>
        <v>0</v>
      </c>
      <c r="E48" s="10" t="n">
        <f aca="false">IF(E7=0,0,E43/E7)</f>
        <v>0</v>
      </c>
      <c r="F48" s="10" t="n">
        <f aca="false">IF(F7=0,0,F43/F7)</f>
        <v>-78.4615384615385</v>
      </c>
    </row>
    <row r="49" customFormat="false" ht="12.8" hidden="false" customHeight="false" outlineLevel="0" collapsed="false">
      <c r="A49" s="0" t="s">
        <v>46</v>
      </c>
      <c r="B49" s="10" t="n">
        <f aca="false">IF(B8=0,0,(B31+B41)/B8)</f>
        <v>0</v>
      </c>
      <c r="C49" s="10" t="n">
        <f aca="false">IF(C8=0,0,(C31+C41)/C8)</f>
        <v>0</v>
      </c>
      <c r="D49" s="10" t="n">
        <f aca="false">IF(D8=0,0,(D31+D41)/D8)</f>
        <v>0</v>
      </c>
      <c r="E49" s="10" t="n">
        <f aca="false">IF(E8=0,0,(E31+E41)/E8)</f>
        <v>0</v>
      </c>
      <c r="F49" s="10"/>
    </row>
  </sheetData>
  <mergeCells count="8">
    <mergeCell ref="A1:F1"/>
    <mergeCell ref="A2:F2"/>
    <mergeCell ref="A3:F3"/>
    <mergeCell ref="A6:F6"/>
    <mergeCell ref="A10:F10"/>
    <mergeCell ref="A17:F17"/>
    <mergeCell ref="A35:F35"/>
    <mergeCell ref="A45:F45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3"/>
    <col collapsed="false" customWidth="true" hidden="false" outlineLevel="0" max="3" min="2" style="0" width="21.45"/>
    <col collapsed="false" customWidth="true" hidden="false" outlineLevel="0" max="4" min="4" style="0" width="16.34"/>
    <col collapsed="false" customWidth="true" hidden="false" outlineLevel="0" max="6" min="5" style="0" width="17.37"/>
    <col collapsed="false" customWidth="true" hidden="false" outlineLevel="0" max="7" min="7" style="0" width="30.65"/>
  </cols>
  <sheetData>
    <row r="1" customFormat="false" ht="18.55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  <c r="H1" s="17" t="s">
        <v>48</v>
      </c>
    </row>
    <row r="2" customFormat="false" ht="12.8" hidden="false" customHeight="false" outlineLevel="0" collapsed="false">
      <c r="A2" s="5" t="s">
        <v>49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18" t="str">
        <f aca="false">'P&amp;L'!B5</f>
        <v>Soybeans</v>
      </c>
    </row>
    <row r="3" customFormat="false" ht="12.8" hidden="false" customHeight="false" outlineLevel="0" collapsed="false">
      <c r="A3" s="19"/>
      <c r="B3" s="20" t="s">
        <v>4</v>
      </c>
      <c r="C3" s="20"/>
      <c r="D3" s="7"/>
      <c r="E3" s="12"/>
      <c r="F3" s="10" t="n">
        <f aca="false">D3*E3</f>
        <v>0</v>
      </c>
      <c r="G3" s="20"/>
      <c r="H3" s="18" t="str">
        <f aca="false">'P&amp;L'!C5</f>
        <v>Corn</v>
      </c>
    </row>
    <row r="4" customFormat="false" ht="12.8" hidden="false" customHeight="false" outlineLevel="0" collapsed="false">
      <c r="A4" s="19"/>
      <c r="B4" s="21"/>
      <c r="C4" s="20"/>
      <c r="D4" s="7"/>
      <c r="E4" s="12"/>
      <c r="F4" s="10" t="n">
        <f aca="false">D4*E4</f>
        <v>0</v>
      </c>
      <c r="G4" s="20"/>
      <c r="H4" s="18" t="str">
        <f aca="false">'P&amp;L'!D5</f>
        <v>Hay</v>
      </c>
    </row>
    <row r="5" customFormat="false" ht="12.8" hidden="false" customHeight="false" outlineLevel="0" collapsed="false">
      <c r="A5" s="19"/>
      <c r="B5" s="21"/>
      <c r="C5" s="20"/>
      <c r="D5" s="7"/>
      <c r="E5" s="12"/>
      <c r="F5" s="10" t="n">
        <f aca="false">D5*E5</f>
        <v>0</v>
      </c>
      <c r="G5" s="20"/>
      <c r="H5" s="18" t="str">
        <f aca="false">'P&amp;L'!E5</f>
        <v>No Crop</v>
      </c>
    </row>
    <row r="6" customFormat="false" ht="12.8" hidden="false" customHeight="false" outlineLevel="0" collapsed="false">
      <c r="A6" s="19"/>
      <c r="B6" s="21"/>
      <c r="C6" s="20"/>
      <c r="D6" s="7"/>
      <c r="E6" s="12"/>
      <c r="F6" s="10" t="n">
        <f aca="false">D6*E6</f>
        <v>0</v>
      </c>
      <c r="G6" s="20"/>
    </row>
    <row r="7" customFormat="false" ht="12.8" hidden="false" customHeight="false" outlineLevel="0" collapsed="false">
      <c r="A7" s="19"/>
      <c r="B7" s="21"/>
      <c r="C7" s="20"/>
      <c r="D7" s="7"/>
      <c r="E7" s="12"/>
      <c r="F7" s="10" t="n">
        <f aca="false">D7*E7</f>
        <v>0</v>
      </c>
      <c r="G7" s="20"/>
    </row>
    <row r="8" customFormat="false" ht="12.8" hidden="false" customHeight="false" outlineLevel="0" collapsed="false">
      <c r="A8" s="19"/>
      <c r="B8" s="21"/>
      <c r="C8" s="20"/>
      <c r="D8" s="7"/>
      <c r="E8" s="12"/>
      <c r="F8" s="10" t="n">
        <f aca="false">D8*E8</f>
        <v>0</v>
      </c>
      <c r="G8" s="20"/>
    </row>
    <row r="9" customFormat="false" ht="12.8" hidden="false" customHeight="false" outlineLevel="0" collapsed="false">
      <c r="A9" s="19"/>
      <c r="B9" s="21"/>
      <c r="C9" s="20"/>
      <c r="D9" s="7"/>
      <c r="E9" s="12"/>
      <c r="F9" s="10" t="n">
        <f aca="false">D9*E9</f>
        <v>0</v>
      </c>
      <c r="G9" s="20"/>
    </row>
    <row r="10" customFormat="false" ht="12.8" hidden="false" customHeight="false" outlineLevel="0" collapsed="false">
      <c r="A10" s="19"/>
      <c r="B10" s="21"/>
      <c r="C10" s="20"/>
      <c r="D10" s="7"/>
      <c r="E10" s="12"/>
      <c r="F10" s="10" t="n">
        <f aca="false">D10*E10</f>
        <v>0</v>
      </c>
      <c r="G10" s="20"/>
    </row>
    <row r="11" customFormat="false" ht="12.8" hidden="false" customHeight="false" outlineLevel="0" collapsed="false">
      <c r="A11" s="19"/>
      <c r="B11" s="21"/>
      <c r="C11" s="20"/>
      <c r="D11" s="7"/>
      <c r="E11" s="12"/>
      <c r="F11" s="10" t="n">
        <f aca="false">D11*E11</f>
        <v>0</v>
      </c>
      <c r="G11" s="20"/>
    </row>
    <row r="12" customFormat="false" ht="12.8" hidden="false" customHeight="false" outlineLevel="0" collapsed="false">
      <c r="A12" s="19"/>
      <c r="B12" s="21"/>
      <c r="C12" s="20"/>
      <c r="D12" s="7"/>
      <c r="E12" s="12"/>
      <c r="F12" s="10" t="n">
        <f aca="false">D12*E12</f>
        <v>0</v>
      </c>
      <c r="G12" s="20"/>
    </row>
    <row r="13" customFormat="false" ht="12.8" hidden="false" customHeight="false" outlineLevel="0" collapsed="false">
      <c r="A13" s="19"/>
      <c r="B13" s="21"/>
      <c r="C13" s="20"/>
      <c r="D13" s="7"/>
      <c r="E13" s="12"/>
      <c r="F13" s="10" t="n">
        <f aca="false">D13*E13</f>
        <v>0</v>
      </c>
      <c r="G13" s="20"/>
    </row>
    <row r="14" customFormat="false" ht="12.8" hidden="false" customHeight="false" outlineLevel="0" collapsed="false">
      <c r="A14" s="19"/>
      <c r="B14" s="21"/>
      <c r="C14" s="20"/>
      <c r="D14" s="7"/>
      <c r="E14" s="12"/>
      <c r="F14" s="10" t="n">
        <f aca="false">D14*E14</f>
        <v>0</v>
      </c>
      <c r="G14" s="20"/>
    </row>
    <row r="15" customFormat="false" ht="12.8" hidden="false" customHeight="false" outlineLevel="0" collapsed="false">
      <c r="A15" s="19"/>
      <c r="B15" s="21"/>
      <c r="C15" s="20"/>
      <c r="D15" s="7"/>
      <c r="E15" s="12"/>
      <c r="F15" s="10" t="n">
        <f aca="false">D15*E15</f>
        <v>0</v>
      </c>
      <c r="G15" s="20"/>
    </row>
    <row r="16" customFormat="false" ht="12.8" hidden="false" customHeight="false" outlineLevel="0" collapsed="false">
      <c r="A16" s="19"/>
      <c r="B16" s="21"/>
      <c r="C16" s="20"/>
      <c r="D16" s="7"/>
      <c r="E16" s="12"/>
      <c r="F16" s="10" t="n">
        <f aca="false">D16*E16</f>
        <v>0</v>
      </c>
      <c r="G16" s="20"/>
    </row>
    <row r="17" customFormat="false" ht="12.8" hidden="false" customHeight="false" outlineLevel="0" collapsed="false">
      <c r="A17" s="19"/>
      <c r="B17" s="21"/>
      <c r="C17" s="20"/>
      <c r="D17" s="7"/>
      <c r="E17" s="12"/>
      <c r="F17" s="10" t="n">
        <f aca="false">D17*E17</f>
        <v>0</v>
      </c>
      <c r="G17" s="20"/>
    </row>
    <row r="18" customFormat="false" ht="12.8" hidden="false" customHeight="false" outlineLevel="0" collapsed="false">
      <c r="A18" s="19"/>
      <c r="B18" s="21"/>
      <c r="C18" s="20"/>
      <c r="D18" s="7"/>
      <c r="E18" s="12"/>
      <c r="F18" s="10" t="n">
        <f aca="false">D18*E18</f>
        <v>0</v>
      </c>
      <c r="G18" s="20"/>
    </row>
    <row r="19" customFormat="false" ht="12.8" hidden="false" customHeight="false" outlineLevel="0" collapsed="false">
      <c r="A19" s="19"/>
      <c r="B19" s="21"/>
      <c r="C19" s="20"/>
      <c r="D19" s="7"/>
      <c r="E19" s="12"/>
      <c r="F19" s="10" t="n">
        <f aca="false">D19*E19</f>
        <v>0</v>
      </c>
      <c r="G19" s="20"/>
    </row>
    <row r="20" customFormat="false" ht="12.8" hidden="false" customHeight="false" outlineLevel="0" collapsed="false">
      <c r="A20" s="19"/>
      <c r="B20" s="21"/>
      <c r="C20" s="20"/>
      <c r="D20" s="7"/>
      <c r="E20" s="12"/>
      <c r="F20" s="10" t="n">
        <f aca="false">D20*E20</f>
        <v>0</v>
      </c>
      <c r="G20" s="20"/>
    </row>
    <row r="21" customFormat="false" ht="12.8" hidden="false" customHeight="false" outlineLevel="0" collapsed="false">
      <c r="A21" s="19"/>
      <c r="B21" s="21"/>
      <c r="C21" s="20"/>
      <c r="D21" s="7"/>
      <c r="E21" s="12"/>
      <c r="F21" s="10" t="n">
        <f aca="false">D21*E21</f>
        <v>0</v>
      </c>
      <c r="G21" s="20"/>
    </row>
    <row r="22" customFormat="false" ht="12.8" hidden="false" customHeight="false" outlineLevel="0" collapsed="false">
      <c r="A22" s="19"/>
      <c r="B22" s="21"/>
      <c r="C22" s="20"/>
      <c r="D22" s="7"/>
      <c r="E22" s="12"/>
      <c r="F22" s="10" t="n">
        <f aca="false">D22*E22</f>
        <v>0</v>
      </c>
      <c r="G22" s="20"/>
    </row>
    <row r="23" customFormat="false" ht="12.8" hidden="false" customHeight="false" outlineLevel="0" collapsed="false">
      <c r="A23" s="19"/>
      <c r="B23" s="21"/>
      <c r="C23" s="20"/>
      <c r="D23" s="7"/>
      <c r="E23" s="12"/>
      <c r="F23" s="10" t="n">
        <f aca="false">D23*E23</f>
        <v>0</v>
      </c>
      <c r="G23" s="20"/>
    </row>
    <row r="24" customFormat="false" ht="12.8" hidden="false" customHeight="false" outlineLevel="0" collapsed="false">
      <c r="A24" s="19"/>
      <c r="B24" s="21"/>
      <c r="C24" s="20"/>
      <c r="D24" s="7"/>
      <c r="E24" s="12"/>
      <c r="F24" s="10" t="n">
        <f aca="false">D24*E24</f>
        <v>0</v>
      </c>
      <c r="G24" s="20"/>
    </row>
    <row r="25" customFormat="false" ht="12.8" hidden="false" customHeight="false" outlineLevel="0" collapsed="false">
      <c r="A25" s="19"/>
      <c r="B25" s="21"/>
      <c r="C25" s="20"/>
      <c r="D25" s="7"/>
      <c r="E25" s="12"/>
      <c r="F25" s="10" t="n">
        <f aca="false">D25*E25</f>
        <v>0</v>
      </c>
      <c r="G25" s="20"/>
    </row>
    <row r="26" customFormat="false" ht="12.8" hidden="false" customHeight="false" outlineLevel="0" collapsed="false">
      <c r="A26" s="19"/>
      <c r="B26" s="21"/>
      <c r="C26" s="20"/>
      <c r="D26" s="7"/>
      <c r="E26" s="12"/>
      <c r="F26" s="10" t="n">
        <f aca="false">D26*E26</f>
        <v>0</v>
      </c>
      <c r="G26" s="20"/>
    </row>
    <row r="27" customFormat="false" ht="12.8" hidden="false" customHeight="false" outlineLevel="0" collapsed="false">
      <c r="A27" s="19"/>
      <c r="B27" s="21"/>
      <c r="C27" s="20"/>
      <c r="D27" s="7"/>
      <c r="E27" s="12"/>
      <c r="F27" s="10" t="n">
        <f aca="false">D27*E27</f>
        <v>0</v>
      </c>
      <c r="G27" s="20"/>
    </row>
    <row r="28" customFormat="false" ht="12.8" hidden="false" customHeight="false" outlineLevel="0" collapsed="false">
      <c r="A28" s="19"/>
      <c r="B28" s="21"/>
      <c r="C28" s="20"/>
      <c r="D28" s="7"/>
      <c r="E28" s="12"/>
      <c r="F28" s="10" t="n">
        <f aca="false">D28*E28</f>
        <v>0</v>
      </c>
      <c r="G28" s="20"/>
    </row>
    <row r="29" customFormat="false" ht="12.8" hidden="false" customHeight="false" outlineLevel="0" collapsed="false">
      <c r="A29" s="19"/>
      <c r="B29" s="21"/>
      <c r="C29" s="20"/>
      <c r="D29" s="7"/>
      <c r="E29" s="12"/>
      <c r="F29" s="10" t="n">
        <f aca="false">D29*E29</f>
        <v>0</v>
      </c>
      <c r="G29" s="20"/>
    </row>
    <row r="30" customFormat="false" ht="12.8" hidden="false" customHeight="false" outlineLevel="0" collapsed="false">
      <c r="A30" s="19"/>
      <c r="B30" s="21"/>
      <c r="C30" s="20"/>
      <c r="D30" s="7"/>
      <c r="E30" s="12"/>
      <c r="F30" s="10" t="n">
        <f aca="false">D30*E30</f>
        <v>0</v>
      </c>
      <c r="G30" s="20"/>
    </row>
    <row r="31" customFormat="false" ht="12.8" hidden="false" customHeight="false" outlineLevel="0" collapsed="false">
      <c r="A31" s="19"/>
      <c r="B31" s="21"/>
      <c r="C31" s="20"/>
      <c r="D31" s="7"/>
      <c r="E31" s="12"/>
      <c r="F31" s="10" t="n">
        <f aca="false">D31*E31</f>
        <v>0</v>
      </c>
      <c r="G31" s="20"/>
    </row>
    <row r="32" customFormat="false" ht="12.8" hidden="false" customHeight="false" outlineLevel="0" collapsed="false">
      <c r="A32" s="19"/>
      <c r="B32" s="21"/>
      <c r="C32" s="20"/>
      <c r="D32" s="7"/>
      <c r="E32" s="12"/>
      <c r="F32" s="10" t="n">
        <f aca="false">D32*E32</f>
        <v>0</v>
      </c>
      <c r="G32" s="20"/>
    </row>
    <row r="33" customFormat="false" ht="12.8" hidden="false" customHeight="false" outlineLevel="0" collapsed="false">
      <c r="A33" s="19"/>
      <c r="B33" s="21"/>
      <c r="C33" s="20"/>
      <c r="D33" s="7"/>
      <c r="E33" s="12"/>
      <c r="F33" s="10" t="n">
        <f aca="false">D33*E33</f>
        <v>0</v>
      </c>
      <c r="G33" s="20"/>
    </row>
    <row r="34" customFormat="false" ht="12.8" hidden="false" customHeight="false" outlineLevel="0" collapsed="false">
      <c r="A34" s="19"/>
      <c r="B34" s="21"/>
      <c r="C34" s="20"/>
      <c r="D34" s="7"/>
      <c r="E34" s="12"/>
      <c r="F34" s="10" t="n">
        <f aca="false">D34*E34</f>
        <v>0</v>
      </c>
      <c r="G34" s="20"/>
    </row>
    <row r="35" customFormat="false" ht="12.8" hidden="false" customHeight="false" outlineLevel="0" collapsed="false">
      <c r="A35" s="19"/>
      <c r="B35" s="21"/>
      <c r="C35" s="20"/>
      <c r="D35" s="7"/>
      <c r="E35" s="12"/>
      <c r="F35" s="10" t="n">
        <f aca="false">D35*E35</f>
        <v>0</v>
      </c>
      <c r="G35" s="20"/>
    </row>
    <row r="36" customFormat="false" ht="12.8" hidden="false" customHeight="false" outlineLevel="0" collapsed="false">
      <c r="A36" s="19"/>
      <c r="B36" s="21"/>
      <c r="C36" s="20"/>
      <c r="D36" s="7"/>
      <c r="E36" s="12"/>
      <c r="F36" s="10" t="n">
        <f aca="false">D36*E36</f>
        <v>0</v>
      </c>
      <c r="G36" s="20"/>
    </row>
    <row r="37" customFormat="false" ht="12.8" hidden="false" customHeight="false" outlineLevel="0" collapsed="false">
      <c r="A37" s="19"/>
      <c r="B37" s="21"/>
      <c r="C37" s="20"/>
      <c r="D37" s="7"/>
      <c r="E37" s="12"/>
      <c r="F37" s="10" t="n">
        <f aca="false">D37*E37</f>
        <v>0</v>
      </c>
      <c r="G37" s="20"/>
    </row>
    <row r="38" customFormat="false" ht="12.8" hidden="false" customHeight="false" outlineLevel="0" collapsed="false">
      <c r="A38" s="19"/>
      <c r="B38" s="21"/>
      <c r="C38" s="20"/>
      <c r="D38" s="7"/>
      <c r="E38" s="12"/>
      <c r="F38" s="10" t="n">
        <f aca="false">D38*E38</f>
        <v>0</v>
      </c>
      <c r="G38" s="20"/>
    </row>
    <row r="39" customFormat="false" ht="12.8" hidden="false" customHeight="false" outlineLevel="0" collapsed="false">
      <c r="A39" s="19"/>
      <c r="B39" s="21"/>
      <c r="C39" s="20"/>
      <c r="D39" s="7"/>
      <c r="E39" s="12"/>
      <c r="F39" s="10" t="n">
        <f aca="false">D39*E39</f>
        <v>0</v>
      </c>
      <c r="G39" s="20"/>
    </row>
    <row r="40" customFormat="false" ht="12.8" hidden="false" customHeight="false" outlineLevel="0" collapsed="false">
      <c r="A40" s="19"/>
      <c r="B40" s="21"/>
      <c r="C40" s="20"/>
      <c r="D40" s="7"/>
      <c r="E40" s="12"/>
      <c r="F40" s="10" t="n">
        <f aca="false">D40*E40</f>
        <v>0</v>
      </c>
      <c r="G40" s="20"/>
    </row>
    <row r="41" customFormat="false" ht="12.8" hidden="false" customHeight="false" outlineLevel="0" collapsed="false">
      <c r="A41" s="19"/>
      <c r="B41" s="21"/>
      <c r="C41" s="20"/>
      <c r="D41" s="7"/>
      <c r="E41" s="12"/>
      <c r="F41" s="10" t="n">
        <f aca="false">D41*E41</f>
        <v>0</v>
      </c>
      <c r="G41" s="20"/>
    </row>
    <row r="42" customFormat="false" ht="12.8" hidden="false" customHeight="false" outlineLevel="0" collapsed="false">
      <c r="A42" s="19"/>
      <c r="B42" s="21"/>
      <c r="C42" s="20"/>
      <c r="D42" s="7"/>
      <c r="E42" s="12"/>
      <c r="F42" s="10" t="n">
        <f aca="false">D42*E42</f>
        <v>0</v>
      </c>
      <c r="G42" s="20"/>
    </row>
    <row r="43" customFormat="false" ht="12.8" hidden="false" customHeight="false" outlineLevel="0" collapsed="false">
      <c r="A43" s="19"/>
      <c r="B43" s="21"/>
      <c r="C43" s="20"/>
      <c r="D43" s="7"/>
      <c r="E43" s="12"/>
      <c r="F43" s="10" t="n">
        <f aca="false">D43*E43</f>
        <v>0</v>
      </c>
      <c r="G43" s="20"/>
    </row>
    <row r="44" customFormat="false" ht="12.8" hidden="false" customHeight="false" outlineLevel="0" collapsed="false">
      <c r="A44" s="19"/>
      <c r="B44" s="21"/>
      <c r="C44" s="20"/>
      <c r="D44" s="7"/>
      <c r="E44" s="12"/>
      <c r="F44" s="10" t="n">
        <f aca="false">D44*E44</f>
        <v>0</v>
      </c>
      <c r="G44" s="20"/>
    </row>
    <row r="45" customFormat="false" ht="12.8" hidden="false" customHeight="false" outlineLevel="0" collapsed="false">
      <c r="A45" s="19"/>
      <c r="B45" s="21"/>
      <c r="C45" s="20"/>
      <c r="D45" s="7"/>
      <c r="E45" s="12"/>
      <c r="F45" s="10" t="n">
        <f aca="false">D45*E45</f>
        <v>0</v>
      </c>
      <c r="G45" s="20"/>
    </row>
    <row r="46" customFormat="false" ht="12.8" hidden="false" customHeight="false" outlineLevel="0" collapsed="false">
      <c r="A46" s="19"/>
      <c r="B46" s="21"/>
      <c r="C46" s="20"/>
      <c r="D46" s="7"/>
      <c r="E46" s="12"/>
      <c r="F46" s="10" t="n">
        <f aca="false">D46*E46</f>
        <v>0</v>
      </c>
      <c r="G46" s="20"/>
    </row>
    <row r="47" customFormat="false" ht="12.8" hidden="false" customHeight="false" outlineLevel="0" collapsed="false">
      <c r="A47" s="19"/>
      <c r="B47" s="21"/>
      <c r="C47" s="20"/>
      <c r="D47" s="7"/>
      <c r="E47" s="12"/>
      <c r="F47" s="10" t="n">
        <f aca="false">D47*E47</f>
        <v>0</v>
      </c>
      <c r="G47" s="20"/>
    </row>
    <row r="48" customFormat="false" ht="12.8" hidden="false" customHeight="false" outlineLevel="0" collapsed="false">
      <c r="A48" s="19"/>
      <c r="B48" s="21"/>
      <c r="C48" s="20"/>
      <c r="D48" s="7"/>
      <c r="E48" s="12"/>
      <c r="F48" s="10" t="n">
        <f aca="false">D48*E48</f>
        <v>0</v>
      </c>
      <c r="G48" s="20"/>
    </row>
    <row r="49" customFormat="false" ht="12.8" hidden="false" customHeight="false" outlineLevel="0" collapsed="false">
      <c r="A49" s="19"/>
      <c r="B49" s="21"/>
      <c r="C49" s="20"/>
      <c r="D49" s="7"/>
      <c r="E49" s="12"/>
      <c r="F49" s="10" t="n">
        <f aca="false">D49*E49</f>
        <v>0</v>
      </c>
      <c r="G49" s="20"/>
    </row>
    <row r="50" customFormat="false" ht="12.8" hidden="false" customHeight="false" outlineLevel="0" collapsed="false">
      <c r="A50" s="19"/>
      <c r="B50" s="21"/>
      <c r="C50" s="20"/>
      <c r="D50" s="7"/>
      <c r="E50" s="12"/>
      <c r="F50" s="10" t="n">
        <f aca="false">D50*E50</f>
        <v>0</v>
      </c>
      <c r="G50" s="20"/>
    </row>
    <row r="51" customFormat="false" ht="12.8" hidden="false" customHeight="false" outlineLevel="0" collapsed="false">
      <c r="A51" s="19"/>
      <c r="B51" s="21"/>
      <c r="C51" s="20"/>
      <c r="D51" s="7"/>
      <c r="E51" s="12"/>
      <c r="F51" s="10" t="n">
        <f aca="false">D51*E51</f>
        <v>0</v>
      </c>
      <c r="G51" s="20"/>
    </row>
    <row r="52" customFormat="false" ht="12.8" hidden="false" customHeight="false" outlineLevel="0" collapsed="false">
      <c r="A52" s="19"/>
      <c r="B52" s="21"/>
      <c r="C52" s="20"/>
      <c r="D52" s="7"/>
      <c r="E52" s="12"/>
      <c r="F52" s="10" t="n">
        <f aca="false">D52*E52</f>
        <v>0</v>
      </c>
      <c r="G52" s="20"/>
    </row>
    <row r="53" customFormat="false" ht="12.8" hidden="false" customHeight="false" outlineLevel="0" collapsed="false">
      <c r="A53" s="19"/>
      <c r="B53" s="21"/>
      <c r="C53" s="20"/>
      <c r="D53" s="7"/>
      <c r="E53" s="12"/>
      <c r="F53" s="10" t="n">
        <f aca="false">D53*E53</f>
        <v>0</v>
      </c>
      <c r="G53" s="20"/>
    </row>
    <row r="54" customFormat="false" ht="12.8" hidden="false" customHeight="false" outlineLevel="0" collapsed="false">
      <c r="A54" s="19"/>
      <c r="B54" s="21"/>
      <c r="C54" s="20"/>
      <c r="D54" s="7"/>
      <c r="E54" s="12"/>
      <c r="F54" s="10" t="n">
        <f aca="false">D54*E54</f>
        <v>0</v>
      </c>
      <c r="G54" s="20"/>
    </row>
    <row r="55" customFormat="false" ht="12.8" hidden="false" customHeight="false" outlineLevel="0" collapsed="false">
      <c r="A55" s="19"/>
      <c r="B55" s="21"/>
      <c r="C55" s="20"/>
      <c r="D55" s="7"/>
      <c r="E55" s="12"/>
      <c r="F55" s="10" t="n">
        <f aca="false">D55*E55</f>
        <v>0</v>
      </c>
      <c r="G55" s="20"/>
    </row>
    <row r="56" customFormat="false" ht="12.8" hidden="false" customHeight="false" outlineLevel="0" collapsed="false">
      <c r="A56" s="19"/>
      <c r="B56" s="21"/>
      <c r="C56" s="20"/>
      <c r="D56" s="7"/>
      <c r="E56" s="12"/>
      <c r="F56" s="10" t="n">
        <f aca="false">D56*E56</f>
        <v>0</v>
      </c>
      <c r="G56" s="20"/>
    </row>
    <row r="57" customFormat="false" ht="12.8" hidden="false" customHeight="false" outlineLevel="0" collapsed="false">
      <c r="A57" s="19"/>
      <c r="B57" s="21"/>
      <c r="C57" s="20"/>
      <c r="D57" s="7"/>
      <c r="E57" s="12"/>
      <c r="F57" s="10" t="n">
        <f aca="false">D57*E57</f>
        <v>0</v>
      </c>
      <c r="G57" s="20"/>
    </row>
    <row r="58" customFormat="false" ht="12.8" hidden="false" customHeight="false" outlineLevel="0" collapsed="false">
      <c r="A58" s="19"/>
      <c r="B58" s="21"/>
      <c r="C58" s="20"/>
      <c r="D58" s="7"/>
      <c r="E58" s="12"/>
      <c r="F58" s="10" t="n">
        <f aca="false">D58*E58</f>
        <v>0</v>
      </c>
      <c r="G58" s="20"/>
    </row>
    <row r="59" customFormat="false" ht="12.8" hidden="false" customHeight="false" outlineLevel="0" collapsed="false">
      <c r="A59" s="19"/>
      <c r="B59" s="21"/>
      <c r="C59" s="20"/>
      <c r="D59" s="7"/>
      <c r="E59" s="12"/>
      <c r="F59" s="10" t="n">
        <f aca="false">D59*E59</f>
        <v>0</v>
      </c>
      <c r="G59" s="20"/>
    </row>
    <row r="60" customFormat="false" ht="12.8" hidden="false" customHeight="false" outlineLevel="0" collapsed="false">
      <c r="A60" s="19"/>
      <c r="B60" s="21"/>
      <c r="C60" s="20"/>
      <c r="D60" s="7"/>
      <c r="E60" s="12"/>
      <c r="F60" s="10" t="n">
        <f aca="false">D60*E60</f>
        <v>0</v>
      </c>
      <c r="G60" s="20"/>
    </row>
    <row r="61" customFormat="false" ht="12.8" hidden="false" customHeight="false" outlineLevel="0" collapsed="false">
      <c r="A61" s="19"/>
      <c r="B61" s="21"/>
      <c r="C61" s="20"/>
      <c r="D61" s="7"/>
      <c r="E61" s="12"/>
      <c r="F61" s="10" t="n">
        <f aca="false">D61*E61</f>
        <v>0</v>
      </c>
      <c r="G61" s="20"/>
    </row>
    <row r="62" customFormat="false" ht="12.8" hidden="false" customHeight="false" outlineLevel="0" collapsed="false">
      <c r="A62" s="19"/>
      <c r="B62" s="21"/>
      <c r="C62" s="20"/>
      <c r="D62" s="7"/>
      <c r="E62" s="12"/>
      <c r="F62" s="10" t="n">
        <f aca="false">D62*E62</f>
        <v>0</v>
      </c>
      <c r="G62" s="20"/>
    </row>
    <row r="63" customFormat="false" ht="12.8" hidden="false" customHeight="false" outlineLevel="0" collapsed="false">
      <c r="C63" s="13" t="s">
        <v>56</v>
      </c>
      <c r="F63" s="14" t="n">
        <f aca="false">SUM(F3:F62)</f>
        <v>0</v>
      </c>
    </row>
  </sheetData>
  <mergeCells count="1">
    <mergeCell ref="A1:G1"/>
  </mergeCells>
  <dataValidations count="1">
    <dataValidation allowBlank="true" errorStyle="stop" operator="equal" showDropDown="false" showErrorMessage="false" showInputMessage="false" sqref="B4:B62" type="list">
      <formula1>Sales!$H$2:$H$5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3"/>
    <col collapsed="false" customWidth="true" hidden="false" outlineLevel="0" max="2" min="2" style="0" width="21.45"/>
    <col collapsed="false" customWidth="true" hidden="false" outlineLevel="0" max="3" min="3" style="0" width="38.82"/>
    <col collapsed="false" customWidth="true" hidden="false" outlineLevel="0" max="4" min="4" style="0" width="21.45"/>
    <col collapsed="false" customWidth="true" hidden="false" outlineLevel="0" max="5" min="5" style="0" width="17.37"/>
    <col collapsed="false" customWidth="true" hidden="false" outlineLevel="0" max="6" min="6" style="0" width="30.65"/>
  </cols>
  <sheetData>
    <row r="1" customFormat="false" ht="18.55" hidden="false" customHeight="false" outlineLevel="0" collapsed="false">
      <c r="A1" s="1" t="s">
        <v>57</v>
      </c>
      <c r="B1" s="1"/>
      <c r="C1" s="1"/>
      <c r="D1" s="1"/>
      <c r="E1" s="1"/>
      <c r="F1" s="1"/>
      <c r="G1" s="17" t="s">
        <v>48</v>
      </c>
    </row>
    <row r="2" customFormat="false" ht="12.8" hidden="false" customHeight="false" outlineLevel="0" collapsed="false">
      <c r="A2" s="5" t="s">
        <v>49</v>
      </c>
      <c r="B2" s="5" t="s">
        <v>50</v>
      </c>
      <c r="C2" s="5" t="s">
        <v>58</v>
      </c>
      <c r="D2" s="5" t="s">
        <v>59</v>
      </c>
      <c r="E2" s="5" t="s">
        <v>54</v>
      </c>
      <c r="F2" s="5" t="s">
        <v>55</v>
      </c>
      <c r="G2" s="18" t="str">
        <f aca="false">'P&amp;L'!B5</f>
        <v>Soybeans</v>
      </c>
    </row>
    <row r="3" customFormat="false" ht="12.8" hidden="false" customHeight="false" outlineLevel="0" collapsed="false">
      <c r="A3" s="19" t="n">
        <v>46179</v>
      </c>
      <c r="B3" s="20" t="s">
        <v>4</v>
      </c>
      <c r="C3" s="20" t="s">
        <v>19</v>
      </c>
      <c r="D3" s="20" t="s">
        <v>60</v>
      </c>
      <c r="E3" s="12" t="n">
        <v>900</v>
      </c>
      <c r="F3" s="20" t="s">
        <v>61</v>
      </c>
      <c r="G3" s="18" t="str">
        <f aca="false">'P&amp;L'!C5</f>
        <v>Corn</v>
      </c>
    </row>
    <row r="4" customFormat="false" ht="12.8" hidden="false" customHeight="false" outlineLevel="0" collapsed="false">
      <c r="A4" s="19" t="n">
        <v>46179</v>
      </c>
      <c r="B4" s="20" t="s">
        <v>4</v>
      </c>
      <c r="C4" s="20" t="s">
        <v>19</v>
      </c>
      <c r="D4" s="20" t="s">
        <v>60</v>
      </c>
      <c r="E4" s="12" t="n">
        <v>1125</v>
      </c>
      <c r="F4" s="20" t="s">
        <v>62</v>
      </c>
      <c r="G4" s="18" t="str">
        <f aca="false">'P&amp;L'!D5</f>
        <v>Hay</v>
      </c>
    </row>
    <row r="5" customFormat="false" ht="12.8" hidden="false" customHeight="false" outlineLevel="0" collapsed="false">
      <c r="A5" s="19" t="n">
        <v>46179</v>
      </c>
      <c r="B5" s="20" t="s">
        <v>7</v>
      </c>
      <c r="C5" s="20" t="s">
        <v>25</v>
      </c>
      <c r="D5" s="20" t="s">
        <v>60</v>
      </c>
      <c r="E5" s="12" t="n">
        <v>15</v>
      </c>
      <c r="F5" s="20" t="s">
        <v>63</v>
      </c>
      <c r="G5" s="18" t="str">
        <f aca="false">'P&amp;L'!E5</f>
        <v>No Crop</v>
      </c>
    </row>
    <row r="6" customFormat="false" ht="12.8" hidden="false" customHeight="false" outlineLevel="0" collapsed="false">
      <c r="A6" s="19"/>
      <c r="B6" s="21"/>
      <c r="C6" s="21"/>
      <c r="D6" s="20"/>
      <c r="E6" s="12"/>
      <c r="F6" s="20"/>
    </row>
    <row r="7" customFormat="false" ht="12.8" hidden="false" customHeight="false" outlineLevel="0" collapsed="false">
      <c r="A7" s="19"/>
      <c r="B7" s="21"/>
      <c r="C7" s="21"/>
      <c r="D7" s="20"/>
      <c r="E7" s="12"/>
      <c r="F7" s="20"/>
    </row>
    <row r="8" customFormat="false" ht="12.8" hidden="false" customHeight="false" outlineLevel="0" collapsed="false">
      <c r="A8" s="19"/>
      <c r="B8" s="21"/>
      <c r="C8" s="21"/>
      <c r="D8" s="20"/>
      <c r="E8" s="12"/>
      <c r="F8" s="20"/>
    </row>
    <row r="9" customFormat="false" ht="12.8" hidden="false" customHeight="false" outlineLevel="0" collapsed="false">
      <c r="A9" s="19"/>
      <c r="B9" s="21"/>
      <c r="C9" s="21"/>
      <c r="D9" s="20"/>
      <c r="E9" s="12"/>
      <c r="F9" s="20"/>
    </row>
    <row r="10" customFormat="false" ht="12.8" hidden="false" customHeight="false" outlineLevel="0" collapsed="false">
      <c r="A10" s="19"/>
      <c r="B10" s="21"/>
      <c r="C10" s="21"/>
      <c r="D10" s="20"/>
      <c r="E10" s="12"/>
      <c r="F10" s="20"/>
    </row>
    <row r="11" customFormat="false" ht="12.8" hidden="false" customHeight="false" outlineLevel="0" collapsed="false">
      <c r="A11" s="19"/>
      <c r="B11" s="21"/>
      <c r="C11" s="21"/>
      <c r="D11" s="20"/>
      <c r="E11" s="12"/>
      <c r="F11" s="20"/>
    </row>
    <row r="12" customFormat="false" ht="12.8" hidden="false" customHeight="false" outlineLevel="0" collapsed="false">
      <c r="A12" s="19"/>
      <c r="B12" s="21"/>
      <c r="C12" s="21"/>
      <c r="D12" s="20"/>
      <c r="E12" s="12"/>
      <c r="F12" s="20"/>
    </row>
    <row r="13" customFormat="false" ht="12.8" hidden="false" customHeight="false" outlineLevel="0" collapsed="false">
      <c r="A13" s="19"/>
      <c r="B13" s="21"/>
      <c r="C13" s="21"/>
      <c r="D13" s="20"/>
      <c r="E13" s="12"/>
      <c r="F13" s="20"/>
    </row>
    <row r="14" customFormat="false" ht="12.8" hidden="false" customHeight="false" outlineLevel="0" collapsed="false">
      <c r="A14" s="19"/>
      <c r="B14" s="21"/>
      <c r="C14" s="21"/>
      <c r="D14" s="20"/>
      <c r="E14" s="12"/>
      <c r="F14" s="20"/>
    </row>
    <row r="15" customFormat="false" ht="12.8" hidden="false" customHeight="false" outlineLevel="0" collapsed="false">
      <c r="A15" s="19"/>
      <c r="B15" s="21"/>
      <c r="C15" s="21"/>
      <c r="D15" s="20"/>
      <c r="E15" s="12"/>
      <c r="F15" s="20"/>
    </row>
    <row r="16" customFormat="false" ht="12.8" hidden="false" customHeight="false" outlineLevel="0" collapsed="false">
      <c r="A16" s="19"/>
      <c r="B16" s="21"/>
      <c r="C16" s="21"/>
      <c r="D16" s="20"/>
      <c r="E16" s="12"/>
      <c r="F16" s="20"/>
    </row>
    <row r="17" customFormat="false" ht="12.8" hidden="false" customHeight="false" outlineLevel="0" collapsed="false">
      <c r="A17" s="19"/>
      <c r="B17" s="21"/>
      <c r="C17" s="21"/>
      <c r="D17" s="20"/>
      <c r="E17" s="12"/>
      <c r="F17" s="20"/>
    </row>
    <row r="18" customFormat="false" ht="12.8" hidden="false" customHeight="false" outlineLevel="0" collapsed="false">
      <c r="A18" s="19"/>
      <c r="B18" s="21"/>
      <c r="C18" s="21"/>
      <c r="D18" s="20"/>
      <c r="E18" s="12"/>
      <c r="F18" s="20"/>
    </row>
    <row r="19" customFormat="false" ht="12.8" hidden="false" customHeight="false" outlineLevel="0" collapsed="false">
      <c r="A19" s="19"/>
      <c r="B19" s="21"/>
      <c r="C19" s="21"/>
      <c r="D19" s="20"/>
      <c r="E19" s="12"/>
      <c r="F19" s="20"/>
    </row>
    <row r="20" customFormat="false" ht="12.8" hidden="false" customHeight="false" outlineLevel="0" collapsed="false">
      <c r="A20" s="19"/>
      <c r="B20" s="21"/>
      <c r="C20" s="21"/>
      <c r="D20" s="20"/>
      <c r="E20" s="12"/>
      <c r="F20" s="20"/>
    </row>
    <row r="21" customFormat="false" ht="12.8" hidden="false" customHeight="false" outlineLevel="0" collapsed="false">
      <c r="A21" s="19"/>
      <c r="B21" s="21"/>
      <c r="C21" s="21"/>
      <c r="D21" s="20"/>
      <c r="E21" s="12"/>
      <c r="F21" s="20"/>
    </row>
    <row r="22" customFormat="false" ht="12.8" hidden="false" customHeight="false" outlineLevel="0" collapsed="false">
      <c r="A22" s="19"/>
      <c r="B22" s="21"/>
      <c r="C22" s="21"/>
      <c r="D22" s="20"/>
      <c r="E22" s="12"/>
      <c r="F22" s="20"/>
    </row>
    <row r="23" customFormat="false" ht="12.8" hidden="false" customHeight="false" outlineLevel="0" collapsed="false">
      <c r="A23" s="19"/>
      <c r="B23" s="21"/>
      <c r="C23" s="21"/>
      <c r="D23" s="20"/>
      <c r="E23" s="12"/>
      <c r="F23" s="20"/>
    </row>
    <row r="24" customFormat="false" ht="12.8" hidden="false" customHeight="false" outlineLevel="0" collapsed="false">
      <c r="A24" s="19"/>
      <c r="B24" s="21"/>
      <c r="C24" s="21"/>
      <c r="D24" s="20"/>
      <c r="E24" s="12"/>
      <c r="F24" s="20"/>
    </row>
    <row r="25" customFormat="false" ht="12.8" hidden="false" customHeight="false" outlineLevel="0" collapsed="false">
      <c r="A25" s="19"/>
      <c r="B25" s="21"/>
      <c r="C25" s="21"/>
      <c r="D25" s="20"/>
      <c r="E25" s="12"/>
      <c r="F25" s="20"/>
    </row>
    <row r="26" customFormat="false" ht="12.8" hidden="false" customHeight="false" outlineLevel="0" collapsed="false">
      <c r="A26" s="19"/>
      <c r="B26" s="21"/>
      <c r="C26" s="21"/>
      <c r="D26" s="20"/>
      <c r="E26" s="12"/>
      <c r="F26" s="20"/>
    </row>
    <row r="27" customFormat="false" ht="12.8" hidden="false" customHeight="false" outlineLevel="0" collapsed="false">
      <c r="A27" s="19"/>
      <c r="B27" s="21"/>
      <c r="C27" s="21"/>
      <c r="D27" s="20"/>
      <c r="E27" s="12"/>
      <c r="F27" s="20"/>
    </row>
    <row r="28" customFormat="false" ht="12.8" hidden="false" customHeight="false" outlineLevel="0" collapsed="false">
      <c r="A28" s="19"/>
      <c r="B28" s="21"/>
      <c r="C28" s="21"/>
      <c r="D28" s="20"/>
      <c r="E28" s="12"/>
      <c r="F28" s="20"/>
    </row>
    <row r="29" customFormat="false" ht="12.8" hidden="false" customHeight="false" outlineLevel="0" collapsed="false">
      <c r="A29" s="19"/>
      <c r="B29" s="21"/>
      <c r="C29" s="21"/>
      <c r="D29" s="20"/>
      <c r="E29" s="12"/>
      <c r="F29" s="20"/>
    </row>
    <row r="30" customFormat="false" ht="12.8" hidden="false" customHeight="false" outlineLevel="0" collapsed="false">
      <c r="A30" s="19"/>
      <c r="B30" s="21"/>
      <c r="C30" s="21"/>
      <c r="D30" s="20"/>
      <c r="E30" s="12"/>
      <c r="F30" s="20"/>
    </row>
    <row r="31" customFormat="false" ht="12.8" hidden="false" customHeight="false" outlineLevel="0" collapsed="false">
      <c r="A31" s="19"/>
      <c r="B31" s="21"/>
      <c r="C31" s="21"/>
      <c r="D31" s="20"/>
      <c r="E31" s="12"/>
      <c r="F31" s="20"/>
    </row>
    <row r="32" customFormat="false" ht="12.8" hidden="false" customHeight="false" outlineLevel="0" collapsed="false">
      <c r="A32" s="19"/>
      <c r="B32" s="21"/>
      <c r="C32" s="21"/>
      <c r="D32" s="20"/>
      <c r="E32" s="12"/>
      <c r="F32" s="20"/>
    </row>
    <row r="33" customFormat="false" ht="12.8" hidden="false" customHeight="false" outlineLevel="0" collapsed="false">
      <c r="A33" s="19"/>
      <c r="B33" s="21"/>
      <c r="C33" s="21"/>
      <c r="D33" s="20"/>
      <c r="E33" s="12"/>
      <c r="F33" s="20"/>
    </row>
    <row r="34" customFormat="false" ht="12.8" hidden="false" customHeight="false" outlineLevel="0" collapsed="false">
      <c r="A34" s="19"/>
      <c r="B34" s="21"/>
      <c r="C34" s="21"/>
      <c r="D34" s="20"/>
      <c r="E34" s="12"/>
      <c r="F34" s="20"/>
    </row>
    <row r="35" customFormat="false" ht="12.8" hidden="false" customHeight="false" outlineLevel="0" collapsed="false">
      <c r="A35" s="19"/>
      <c r="B35" s="21"/>
      <c r="C35" s="21"/>
      <c r="D35" s="20"/>
      <c r="E35" s="12"/>
      <c r="F35" s="20"/>
    </row>
    <row r="36" customFormat="false" ht="12.8" hidden="false" customHeight="false" outlineLevel="0" collapsed="false">
      <c r="A36" s="19"/>
      <c r="B36" s="21"/>
      <c r="C36" s="21"/>
      <c r="D36" s="20"/>
      <c r="E36" s="12"/>
      <c r="F36" s="20"/>
    </row>
    <row r="37" customFormat="false" ht="12.8" hidden="false" customHeight="false" outlineLevel="0" collapsed="false">
      <c r="A37" s="19"/>
      <c r="B37" s="21"/>
      <c r="C37" s="21"/>
      <c r="D37" s="20"/>
      <c r="E37" s="12"/>
      <c r="F37" s="20"/>
    </row>
    <row r="38" customFormat="false" ht="12.8" hidden="false" customHeight="false" outlineLevel="0" collapsed="false">
      <c r="A38" s="19"/>
      <c r="B38" s="21"/>
      <c r="C38" s="21"/>
      <c r="D38" s="20"/>
      <c r="E38" s="12"/>
      <c r="F38" s="20"/>
    </row>
    <row r="39" customFormat="false" ht="12.8" hidden="false" customHeight="false" outlineLevel="0" collapsed="false">
      <c r="A39" s="19"/>
      <c r="B39" s="21"/>
      <c r="C39" s="21"/>
      <c r="D39" s="20"/>
      <c r="E39" s="12"/>
      <c r="F39" s="20"/>
    </row>
    <row r="40" customFormat="false" ht="12.8" hidden="false" customHeight="false" outlineLevel="0" collapsed="false">
      <c r="A40" s="19"/>
      <c r="B40" s="21"/>
      <c r="C40" s="21"/>
      <c r="D40" s="20"/>
      <c r="E40" s="12"/>
      <c r="F40" s="20"/>
    </row>
    <row r="41" customFormat="false" ht="12.8" hidden="false" customHeight="false" outlineLevel="0" collapsed="false">
      <c r="A41" s="19"/>
      <c r="B41" s="21"/>
      <c r="C41" s="21"/>
      <c r="D41" s="20"/>
      <c r="E41" s="12"/>
      <c r="F41" s="20"/>
    </row>
    <row r="42" customFormat="false" ht="12.8" hidden="false" customHeight="false" outlineLevel="0" collapsed="false">
      <c r="A42" s="19"/>
      <c r="B42" s="21"/>
      <c r="C42" s="21"/>
      <c r="D42" s="20"/>
      <c r="E42" s="12"/>
      <c r="F42" s="20"/>
    </row>
    <row r="43" customFormat="false" ht="12.8" hidden="false" customHeight="false" outlineLevel="0" collapsed="false">
      <c r="A43" s="19"/>
      <c r="B43" s="21"/>
      <c r="C43" s="21"/>
      <c r="D43" s="20"/>
      <c r="E43" s="12"/>
      <c r="F43" s="20"/>
    </row>
    <row r="44" customFormat="false" ht="12.8" hidden="false" customHeight="false" outlineLevel="0" collapsed="false">
      <c r="A44" s="19"/>
      <c r="B44" s="21"/>
      <c r="C44" s="21"/>
      <c r="D44" s="20"/>
      <c r="E44" s="12"/>
      <c r="F44" s="20"/>
    </row>
    <row r="45" customFormat="false" ht="12.8" hidden="false" customHeight="false" outlineLevel="0" collapsed="false">
      <c r="A45" s="19"/>
      <c r="B45" s="21"/>
      <c r="C45" s="21"/>
      <c r="D45" s="20"/>
      <c r="E45" s="12"/>
      <c r="F45" s="20"/>
    </row>
    <row r="46" customFormat="false" ht="12.8" hidden="false" customHeight="false" outlineLevel="0" collapsed="false">
      <c r="A46" s="19"/>
      <c r="B46" s="21"/>
      <c r="C46" s="21"/>
      <c r="D46" s="20"/>
      <c r="E46" s="12"/>
      <c r="F46" s="20"/>
    </row>
    <row r="47" customFormat="false" ht="12.8" hidden="false" customHeight="false" outlineLevel="0" collapsed="false">
      <c r="A47" s="19"/>
      <c r="B47" s="21"/>
      <c r="C47" s="21"/>
      <c r="D47" s="20"/>
      <c r="E47" s="12"/>
      <c r="F47" s="20"/>
    </row>
    <row r="48" customFormat="false" ht="12.8" hidden="false" customHeight="false" outlineLevel="0" collapsed="false">
      <c r="A48" s="19"/>
      <c r="B48" s="21"/>
      <c r="C48" s="21"/>
      <c r="D48" s="20"/>
      <c r="E48" s="12"/>
      <c r="F48" s="20"/>
    </row>
    <row r="49" customFormat="false" ht="12.8" hidden="false" customHeight="false" outlineLevel="0" collapsed="false">
      <c r="A49" s="19"/>
      <c r="B49" s="21"/>
      <c r="C49" s="21"/>
      <c r="D49" s="20"/>
      <c r="E49" s="12"/>
      <c r="F49" s="20"/>
    </row>
    <row r="50" customFormat="false" ht="12.8" hidden="false" customHeight="false" outlineLevel="0" collapsed="false">
      <c r="A50" s="19"/>
      <c r="B50" s="21"/>
      <c r="C50" s="21"/>
      <c r="D50" s="20"/>
      <c r="E50" s="12"/>
      <c r="F50" s="20"/>
    </row>
    <row r="51" customFormat="false" ht="12.8" hidden="false" customHeight="false" outlineLevel="0" collapsed="false">
      <c r="A51" s="19"/>
      <c r="B51" s="21"/>
      <c r="C51" s="21"/>
      <c r="D51" s="20"/>
      <c r="E51" s="12"/>
      <c r="F51" s="20"/>
    </row>
    <row r="52" customFormat="false" ht="12.8" hidden="false" customHeight="false" outlineLevel="0" collapsed="false">
      <c r="A52" s="19"/>
      <c r="B52" s="21"/>
      <c r="C52" s="21"/>
      <c r="D52" s="20"/>
      <c r="E52" s="12"/>
      <c r="F52" s="20"/>
    </row>
    <row r="53" customFormat="false" ht="12.8" hidden="false" customHeight="false" outlineLevel="0" collapsed="false">
      <c r="A53" s="19"/>
      <c r="B53" s="21"/>
      <c r="C53" s="21"/>
      <c r="D53" s="20"/>
      <c r="E53" s="12"/>
      <c r="F53" s="20"/>
    </row>
    <row r="54" customFormat="false" ht="12.8" hidden="false" customHeight="false" outlineLevel="0" collapsed="false">
      <c r="A54" s="19"/>
      <c r="B54" s="21"/>
      <c r="C54" s="21"/>
      <c r="D54" s="20"/>
      <c r="E54" s="12"/>
      <c r="F54" s="20"/>
    </row>
    <row r="55" customFormat="false" ht="12.8" hidden="false" customHeight="false" outlineLevel="0" collapsed="false">
      <c r="A55" s="19"/>
      <c r="B55" s="21"/>
      <c r="C55" s="21"/>
      <c r="D55" s="20"/>
      <c r="E55" s="12"/>
      <c r="F55" s="20"/>
    </row>
    <row r="56" customFormat="false" ht="12.8" hidden="false" customHeight="false" outlineLevel="0" collapsed="false">
      <c r="A56" s="19"/>
      <c r="B56" s="21"/>
      <c r="C56" s="21"/>
      <c r="D56" s="20"/>
      <c r="E56" s="12"/>
      <c r="F56" s="20"/>
    </row>
    <row r="57" customFormat="false" ht="12.8" hidden="false" customHeight="false" outlineLevel="0" collapsed="false">
      <c r="A57" s="19"/>
      <c r="B57" s="21"/>
      <c r="C57" s="21"/>
      <c r="D57" s="20"/>
      <c r="E57" s="12"/>
      <c r="F57" s="20"/>
    </row>
    <row r="58" customFormat="false" ht="12.8" hidden="false" customHeight="false" outlineLevel="0" collapsed="false">
      <c r="A58" s="19"/>
      <c r="B58" s="21"/>
      <c r="C58" s="21"/>
      <c r="D58" s="20"/>
      <c r="E58" s="12"/>
      <c r="F58" s="20"/>
    </row>
    <row r="59" customFormat="false" ht="12.8" hidden="false" customHeight="false" outlineLevel="0" collapsed="false">
      <c r="A59" s="19"/>
      <c r="B59" s="21"/>
      <c r="C59" s="21"/>
      <c r="D59" s="20"/>
      <c r="E59" s="12"/>
      <c r="F59" s="20"/>
    </row>
    <row r="60" customFormat="false" ht="12.8" hidden="false" customHeight="false" outlineLevel="0" collapsed="false">
      <c r="A60" s="19"/>
      <c r="B60" s="21"/>
      <c r="C60" s="21"/>
      <c r="D60" s="20"/>
      <c r="E60" s="12"/>
      <c r="F60" s="20"/>
    </row>
    <row r="61" customFormat="false" ht="12.8" hidden="false" customHeight="false" outlineLevel="0" collapsed="false">
      <c r="A61" s="19"/>
      <c r="B61" s="21"/>
      <c r="C61" s="21"/>
      <c r="D61" s="20"/>
      <c r="E61" s="12"/>
      <c r="F61" s="20"/>
    </row>
    <row r="62" customFormat="false" ht="12.8" hidden="false" customHeight="false" outlineLevel="0" collapsed="false">
      <c r="A62" s="19"/>
      <c r="B62" s="21"/>
      <c r="C62" s="21"/>
      <c r="D62" s="20"/>
      <c r="E62" s="12"/>
      <c r="F62" s="20"/>
    </row>
    <row r="63" customFormat="false" ht="12.8" hidden="false" customHeight="false" outlineLevel="0" collapsed="false">
      <c r="A63" s="19"/>
      <c r="B63" s="21"/>
      <c r="C63" s="21"/>
      <c r="D63" s="20"/>
      <c r="E63" s="12"/>
      <c r="F63" s="20"/>
    </row>
    <row r="64" customFormat="false" ht="12.8" hidden="false" customHeight="false" outlineLevel="0" collapsed="false">
      <c r="A64" s="19"/>
      <c r="B64" s="21"/>
      <c r="C64" s="21"/>
      <c r="D64" s="20"/>
      <c r="E64" s="12"/>
      <c r="F64" s="20"/>
    </row>
    <row r="65" customFormat="false" ht="12.8" hidden="false" customHeight="false" outlineLevel="0" collapsed="false">
      <c r="A65" s="19"/>
      <c r="B65" s="21"/>
      <c r="C65" s="21"/>
      <c r="D65" s="20"/>
      <c r="E65" s="12"/>
      <c r="F65" s="20"/>
    </row>
    <row r="66" customFormat="false" ht="12.8" hidden="false" customHeight="false" outlineLevel="0" collapsed="false">
      <c r="A66" s="19"/>
      <c r="B66" s="21"/>
      <c r="C66" s="21"/>
      <c r="D66" s="20"/>
      <c r="E66" s="12"/>
      <c r="F66" s="20"/>
    </row>
    <row r="67" customFormat="false" ht="12.8" hidden="false" customHeight="false" outlineLevel="0" collapsed="false">
      <c r="A67" s="19"/>
      <c r="B67" s="21"/>
      <c r="C67" s="21"/>
      <c r="D67" s="20"/>
      <c r="E67" s="12"/>
      <c r="F67" s="20"/>
    </row>
    <row r="68" customFormat="false" ht="12.8" hidden="false" customHeight="false" outlineLevel="0" collapsed="false">
      <c r="A68" s="19"/>
      <c r="B68" s="21"/>
      <c r="C68" s="21"/>
      <c r="D68" s="20"/>
      <c r="E68" s="12"/>
      <c r="F68" s="20"/>
    </row>
    <row r="69" customFormat="false" ht="12.8" hidden="false" customHeight="false" outlineLevel="0" collapsed="false">
      <c r="A69" s="19"/>
      <c r="B69" s="21"/>
      <c r="C69" s="21"/>
      <c r="D69" s="20"/>
      <c r="E69" s="12"/>
      <c r="F69" s="20"/>
    </row>
    <row r="70" customFormat="false" ht="12.8" hidden="false" customHeight="false" outlineLevel="0" collapsed="false">
      <c r="A70" s="19"/>
      <c r="B70" s="21"/>
      <c r="C70" s="21"/>
      <c r="D70" s="20"/>
      <c r="E70" s="12"/>
      <c r="F70" s="20"/>
    </row>
    <row r="71" customFormat="false" ht="12.8" hidden="false" customHeight="false" outlineLevel="0" collapsed="false">
      <c r="A71" s="19"/>
      <c r="B71" s="21"/>
      <c r="C71" s="21"/>
      <c r="D71" s="20"/>
      <c r="E71" s="12"/>
      <c r="F71" s="20"/>
    </row>
    <row r="72" customFormat="false" ht="12.8" hidden="false" customHeight="false" outlineLevel="0" collapsed="false">
      <c r="A72" s="19"/>
      <c r="B72" s="21"/>
      <c r="C72" s="21"/>
      <c r="D72" s="20"/>
      <c r="E72" s="12"/>
      <c r="F72" s="20"/>
    </row>
    <row r="73" customFormat="false" ht="12.8" hidden="false" customHeight="false" outlineLevel="0" collapsed="false">
      <c r="A73" s="19"/>
      <c r="B73" s="21"/>
      <c r="C73" s="21"/>
      <c r="D73" s="20"/>
      <c r="E73" s="12"/>
      <c r="F73" s="20"/>
    </row>
    <row r="74" customFormat="false" ht="12.8" hidden="false" customHeight="false" outlineLevel="0" collapsed="false">
      <c r="A74" s="19"/>
      <c r="B74" s="21"/>
      <c r="C74" s="21"/>
      <c r="D74" s="20"/>
      <c r="E74" s="12"/>
      <c r="F74" s="20"/>
    </row>
    <row r="75" customFormat="false" ht="12.8" hidden="false" customHeight="false" outlineLevel="0" collapsed="false">
      <c r="A75" s="19"/>
      <c r="B75" s="21"/>
      <c r="C75" s="21"/>
      <c r="D75" s="20"/>
      <c r="E75" s="12"/>
      <c r="F75" s="20"/>
    </row>
    <row r="76" customFormat="false" ht="12.8" hidden="false" customHeight="false" outlineLevel="0" collapsed="false">
      <c r="A76" s="19"/>
      <c r="B76" s="21"/>
      <c r="C76" s="21"/>
      <c r="D76" s="20"/>
      <c r="E76" s="12"/>
      <c r="F76" s="20"/>
    </row>
    <row r="77" customFormat="false" ht="12.8" hidden="false" customHeight="false" outlineLevel="0" collapsed="false">
      <c r="A77" s="19"/>
      <c r="B77" s="21"/>
      <c r="C77" s="21"/>
      <c r="D77" s="20"/>
      <c r="E77" s="12"/>
      <c r="F77" s="20"/>
    </row>
    <row r="78" customFormat="false" ht="12.8" hidden="false" customHeight="false" outlineLevel="0" collapsed="false">
      <c r="A78" s="19"/>
      <c r="B78" s="21"/>
      <c r="C78" s="21"/>
      <c r="D78" s="20"/>
      <c r="E78" s="12"/>
      <c r="F78" s="20"/>
    </row>
    <row r="79" customFormat="false" ht="12.8" hidden="false" customHeight="false" outlineLevel="0" collapsed="false">
      <c r="A79" s="19"/>
      <c r="B79" s="21"/>
      <c r="C79" s="21"/>
      <c r="D79" s="20"/>
      <c r="E79" s="12"/>
      <c r="F79" s="20"/>
    </row>
    <row r="80" customFormat="false" ht="12.8" hidden="false" customHeight="false" outlineLevel="0" collapsed="false">
      <c r="A80" s="19"/>
      <c r="B80" s="21"/>
      <c r="C80" s="21"/>
      <c r="D80" s="20"/>
      <c r="E80" s="12"/>
      <c r="F80" s="20"/>
    </row>
    <row r="81" customFormat="false" ht="12.8" hidden="false" customHeight="false" outlineLevel="0" collapsed="false">
      <c r="A81" s="19"/>
      <c r="B81" s="21"/>
      <c r="C81" s="21"/>
      <c r="D81" s="20"/>
      <c r="E81" s="12"/>
      <c r="F81" s="20"/>
    </row>
    <row r="82" customFormat="false" ht="12.8" hidden="false" customHeight="false" outlineLevel="0" collapsed="false">
      <c r="A82" s="19"/>
      <c r="B82" s="21"/>
      <c r="C82" s="21"/>
      <c r="D82" s="20"/>
      <c r="E82" s="12"/>
      <c r="F82" s="20"/>
    </row>
    <row r="83" customFormat="false" ht="12.8" hidden="false" customHeight="false" outlineLevel="0" collapsed="false">
      <c r="C83" s="13" t="s">
        <v>64</v>
      </c>
      <c r="E83" s="14" t="n">
        <f aca="false">SUM(E3:E82)</f>
        <v>2040</v>
      </c>
    </row>
    <row r="85" customFormat="false" ht="12.8" hidden="false" customHeight="false" outlineLevel="0" collapsed="false">
      <c r="A85" s="6" t="s">
        <v>65</v>
      </c>
      <c r="B85" s="6"/>
      <c r="C85" s="6"/>
      <c r="D85" s="6"/>
      <c r="E85" s="6"/>
      <c r="F85" s="6"/>
    </row>
    <row r="86" customFormat="false" ht="12.8" hidden="false" customHeight="false" outlineLevel="0" collapsed="false">
      <c r="C86" s="13" t="s">
        <v>66</v>
      </c>
      <c r="E86" s="11" t="n">
        <f aca="false">'P&amp;L'!F31+'P&amp;L'!F41</f>
        <v>2040</v>
      </c>
    </row>
    <row r="87" customFormat="false" ht="12.8" hidden="false" customHeight="false" outlineLevel="0" collapsed="false">
      <c r="C87" s="13" t="s">
        <v>67</v>
      </c>
      <c r="E87" s="14" t="n">
        <f aca="false">E83-E86</f>
        <v>0</v>
      </c>
    </row>
    <row r="88" customFormat="false" ht="12.8" hidden="false" customHeight="false" outlineLevel="0" collapsed="false">
      <c r="A88" s="3" t="s">
        <v>68</v>
      </c>
      <c r="B88" s="3"/>
      <c r="C88" s="3"/>
      <c r="D88" s="3"/>
      <c r="E88" s="3"/>
      <c r="F88" s="3"/>
    </row>
  </sheetData>
  <mergeCells count="3">
    <mergeCell ref="A1:F1"/>
    <mergeCell ref="A85:F85"/>
    <mergeCell ref="A88:F88"/>
  </mergeCells>
  <dataValidations count="2">
    <dataValidation allowBlank="true" errorStyle="stop" operator="equal" showDropDown="false" showErrorMessage="false" showInputMessage="false" sqref="B6:B82" type="list">
      <formula1>Expenses!$G$2:$G$5</formula1>
      <formula2>0</formula2>
    </dataValidation>
    <dataValidation allowBlank="true" errorStyle="stop" operator="equal" showDropDown="false" showErrorMessage="false" showInputMessage="false" sqref="C6:C82" type="list">
      <formula1>"Seed,Fertilizer &amp; lime,Chemicals (herbicide / pesticide),Crop insurance premiums,Fuel &amp; oil,Custom hire / machine work,Repairs &amp; maintenance,Drying &amp; storage,Hauling / trucking,Hired labor,Land rent / lease,Operating loan interest,Supplies &amp; miscellaneous"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82"/>
    <col collapsed="false" customWidth="true" hidden="false" outlineLevel="0" max="2" min="2" style="0" width="14.3"/>
    <col collapsed="false" customWidth="true" hidden="false" outlineLevel="0" max="4" min="3" style="0" width="17.37"/>
    <col collapsed="false" customWidth="true" hidden="false" outlineLevel="0" max="5" min="5" style="0" width="16.34"/>
    <col collapsed="false" customWidth="true" hidden="false" outlineLevel="0" max="7" min="6" style="0" width="17.37"/>
  </cols>
  <sheetData>
    <row r="1" customFormat="false" ht="18.55" hidden="false" customHeight="false" outlineLevel="0" collapsed="false">
      <c r="A1" s="1" t="s">
        <v>69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3" t="s">
        <v>70</v>
      </c>
      <c r="B2" s="3"/>
      <c r="C2" s="3"/>
      <c r="D2" s="3"/>
      <c r="E2" s="3"/>
      <c r="F2" s="3"/>
      <c r="G2" s="3"/>
    </row>
    <row r="3" customFormat="false" ht="12.8" hidden="false" customHeight="false" outlineLevel="0" collapsed="false">
      <c r="A3" s="5" t="s">
        <v>71</v>
      </c>
      <c r="B3" s="5" t="s">
        <v>72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</row>
    <row r="4" customFormat="false" ht="12.8" hidden="false" customHeight="false" outlineLevel="0" collapsed="false">
      <c r="A4" s="20"/>
      <c r="B4" s="19"/>
      <c r="C4" s="12"/>
      <c r="D4" s="12"/>
      <c r="E4" s="7"/>
      <c r="F4" s="10" t="n">
        <f aca="false">IF(E4=0,0,(C4-D4)/E4)</f>
        <v>0</v>
      </c>
      <c r="G4" s="12"/>
    </row>
    <row r="5" customFormat="false" ht="12.8" hidden="false" customHeight="false" outlineLevel="0" collapsed="false">
      <c r="A5" s="20"/>
      <c r="B5" s="19"/>
      <c r="C5" s="12"/>
      <c r="D5" s="12"/>
      <c r="E5" s="7"/>
      <c r="F5" s="10" t="n">
        <f aca="false">IF(E5=0,0,(C5-D5)/E5)</f>
        <v>0</v>
      </c>
      <c r="G5" s="12"/>
    </row>
    <row r="6" customFormat="false" ht="12.8" hidden="false" customHeight="false" outlineLevel="0" collapsed="false">
      <c r="A6" s="20"/>
      <c r="B6" s="19"/>
      <c r="C6" s="12"/>
      <c r="D6" s="12"/>
      <c r="E6" s="7"/>
      <c r="F6" s="10" t="n">
        <f aca="false">IF(E6=0,0,(C6-D6)/E6)</f>
        <v>0</v>
      </c>
      <c r="G6" s="12"/>
    </row>
    <row r="7" customFormat="false" ht="12.8" hidden="false" customHeight="false" outlineLevel="0" collapsed="false">
      <c r="A7" s="20"/>
      <c r="B7" s="19"/>
      <c r="C7" s="12"/>
      <c r="D7" s="12"/>
      <c r="E7" s="7"/>
      <c r="F7" s="10" t="n">
        <f aca="false">IF(E7=0,0,(C7-D7)/E7)</f>
        <v>0</v>
      </c>
      <c r="G7" s="12"/>
    </row>
    <row r="8" customFormat="false" ht="12.8" hidden="false" customHeight="false" outlineLevel="0" collapsed="false">
      <c r="A8" s="20"/>
      <c r="B8" s="19"/>
      <c r="C8" s="12"/>
      <c r="D8" s="12"/>
      <c r="E8" s="7"/>
      <c r="F8" s="10" t="n">
        <f aca="false">IF(E8=0,0,(C8-D8)/E8)</f>
        <v>0</v>
      </c>
      <c r="G8" s="12"/>
    </row>
    <row r="9" customFormat="false" ht="12.8" hidden="false" customHeight="false" outlineLevel="0" collapsed="false">
      <c r="A9" s="20"/>
      <c r="B9" s="19"/>
      <c r="C9" s="12"/>
      <c r="D9" s="12"/>
      <c r="E9" s="7"/>
      <c r="F9" s="10" t="n">
        <f aca="false">IF(E9=0,0,(C9-D9)/E9)</f>
        <v>0</v>
      </c>
      <c r="G9" s="12"/>
    </row>
    <row r="10" customFormat="false" ht="12.8" hidden="false" customHeight="false" outlineLevel="0" collapsed="false">
      <c r="A10" s="20"/>
      <c r="B10" s="19"/>
      <c r="C10" s="12"/>
      <c r="D10" s="12"/>
      <c r="E10" s="7"/>
      <c r="F10" s="10" t="n">
        <f aca="false">IF(E10=0,0,(C10-D10)/E10)</f>
        <v>0</v>
      </c>
      <c r="G10" s="12"/>
    </row>
    <row r="11" customFormat="false" ht="12.8" hidden="false" customHeight="false" outlineLevel="0" collapsed="false">
      <c r="A11" s="20"/>
      <c r="B11" s="19"/>
      <c r="C11" s="12"/>
      <c r="D11" s="12"/>
      <c r="E11" s="7"/>
      <c r="F11" s="10" t="n">
        <f aca="false">IF(E11=0,0,(C11-D11)/E11)</f>
        <v>0</v>
      </c>
      <c r="G11" s="12"/>
    </row>
    <row r="12" customFormat="false" ht="12.8" hidden="false" customHeight="false" outlineLevel="0" collapsed="false">
      <c r="A12" s="20"/>
      <c r="B12" s="19"/>
      <c r="C12" s="12"/>
      <c r="D12" s="12"/>
      <c r="E12" s="7"/>
      <c r="F12" s="10" t="n">
        <f aca="false">IF(E12=0,0,(C12-D12)/E12)</f>
        <v>0</v>
      </c>
      <c r="G12" s="12"/>
    </row>
    <row r="13" customFormat="false" ht="12.8" hidden="false" customHeight="false" outlineLevel="0" collapsed="false">
      <c r="A13" s="20"/>
      <c r="B13" s="19"/>
      <c r="C13" s="12"/>
      <c r="D13" s="12"/>
      <c r="E13" s="7"/>
      <c r="F13" s="10" t="n">
        <f aca="false">IF(E13=0,0,(C13-D13)/E13)</f>
        <v>0</v>
      </c>
      <c r="G13" s="12"/>
    </row>
    <row r="14" customFormat="false" ht="12.8" hidden="false" customHeight="false" outlineLevel="0" collapsed="false">
      <c r="A14" s="20"/>
      <c r="B14" s="19"/>
      <c r="C14" s="12"/>
      <c r="D14" s="12"/>
      <c r="E14" s="7"/>
      <c r="F14" s="10" t="n">
        <f aca="false">IF(E14=0,0,(C14-D14)/E14)</f>
        <v>0</v>
      </c>
      <c r="G14" s="12"/>
    </row>
    <row r="15" customFormat="false" ht="12.8" hidden="false" customHeight="false" outlineLevel="0" collapsed="false">
      <c r="A15" s="20"/>
      <c r="B15" s="19"/>
      <c r="C15" s="12"/>
      <c r="D15" s="12"/>
      <c r="E15" s="7"/>
      <c r="F15" s="10" t="n">
        <f aca="false">IF(E15=0,0,(C15-D15)/E15)</f>
        <v>0</v>
      </c>
      <c r="G15" s="12"/>
    </row>
    <row r="16" customFormat="false" ht="12.8" hidden="false" customHeight="false" outlineLevel="0" collapsed="false">
      <c r="A16" s="20"/>
      <c r="B16" s="19"/>
      <c r="C16" s="12"/>
      <c r="D16" s="12"/>
      <c r="E16" s="7"/>
      <c r="F16" s="10" t="n">
        <f aca="false">IF(E16=0,0,(C16-D16)/E16)</f>
        <v>0</v>
      </c>
      <c r="G16" s="12"/>
    </row>
    <row r="17" customFormat="false" ht="12.8" hidden="false" customHeight="false" outlineLevel="0" collapsed="false">
      <c r="A17" s="20"/>
      <c r="B17" s="19"/>
      <c r="C17" s="12"/>
      <c r="D17" s="12"/>
      <c r="E17" s="7"/>
      <c r="F17" s="10" t="n">
        <f aca="false">IF(E17=0,0,(C17-D17)/E17)</f>
        <v>0</v>
      </c>
      <c r="G17" s="12"/>
    </row>
    <row r="18" customFormat="false" ht="12.8" hidden="false" customHeight="false" outlineLevel="0" collapsed="false">
      <c r="A18" s="20"/>
      <c r="B18" s="19"/>
      <c r="C18" s="12"/>
      <c r="D18" s="12"/>
      <c r="E18" s="7"/>
      <c r="F18" s="10" t="n">
        <f aca="false">IF(E18=0,0,(C18-D18)/E18)</f>
        <v>0</v>
      </c>
      <c r="G18" s="12"/>
    </row>
    <row r="19" customFormat="false" ht="12.8" hidden="false" customHeight="false" outlineLevel="0" collapsed="false">
      <c r="A19" s="20"/>
      <c r="B19" s="19"/>
      <c r="C19" s="12"/>
      <c r="D19" s="12"/>
      <c r="E19" s="7"/>
      <c r="F19" s="10" t="n">
        <f aca="false">IF(E19=0,0,(C19-D19)/E19)</f>
        <v>0</v>
      </c>
      <c r="G19" s="12"/>
    </row>
    <row r="20" customFormat="false" ht="12.8" hidden="false" customHeight="false" outlineLevel="0" collapsed="false">
      <c r="A20" s="20"/>
      <c r="B20" s="19"/>
      <c r="C20" s="12"/>
      <c r="D20" s="12"/>
      <c r="E20" s="7"/>
      <c r="F20" s="10" t="n">
        <f aca="false">IF(E20=0,0,(C20-D20)/E20)</f>
        <v>0</v>
      </c>
      <c r="G20" s="12"/>
    </row>
    <row r="21" customFormat="false" ht="12.8" hidden="false" customHeight="false" outlineLevel="0" collapsed="false">
      <c r="A21" s="20"/>
      <c r="B21" s="19"/>
      <c r="C21" s="12"/>
      <c r="D21" s="12"/>
      <c r="E21" s="7"/>
      <c r="F21" s="10" t="n">
        <f aca="false">IF(E21=0,0,(C21-D21)/E21)</f>
        <v>0</v>
      </c>
      <c r="G21" s="12"/>
    </row>
    <row r="22" customFormat="false" ht="12.8" hidden="false" customHeight="false" outlineLevel="0" collapsed="false">
      <c r="A22" s="20"/>
      <c r="B22" s="19"/>
      <c r="C22" s="12"/>
      <c r="D22" s="12"/>
      <c r="E22" s="7"/>
      <c r="F22" s="10" t="n">
        <f aca="false">IF(E22=0,0,(C22-D22)/E22)</f>
        <v>0</v>
      </c>
      <c r="G22" s="12"/>
    </row>
    <row r="23" customFormat="false" ht="12.8" hidden="false" customHeight="false" outlineLevel="0" collapsed="false">
      <c r="A23" s="20"/>
      <c r="B23" s="19"/>
      <c r="C23" s="12"/>
      <c r="D23" s="12"/>
      <c r="E23" s="7"/>
      <c r="F23" s="10" t="n">
        <f aca="false">IF(E23=0,0,(C23-D23)/E23)</f>
        <v>0</v>
      </c>
      <c r="G23" s="12"/>
    </row>
    <row r="24" customFormat="false" ht="12.8" hidden="false" customHeight="false" outlineLevel="0" collapsed="false">
      <c r="A24" s="13" t="s">
        <v>78</v>
      </c>
      <c r="F24" s="14" t="n">
        <f aca="false">SUM(F4:F23)</f>
        <v>0</v>
      </c>
      <c r="G24" s="14" t="n">
        <f aca="false">SUM(G4:G23)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82"/>
    <col collapsed="false" customWidth="true" hidden="false" outlineLevel="0" max="5" min="2" style="0" width="17.37"/>
  </cols>
  <sheetData>
    <row r="1" customFormat="false" ht="18.55" hidden="false" customHeight="false" outlineLevel="0" collapsed="false">
      <c r="A1" s="1" t="s">
        <v>79</v>
      </c>
      <c r="B1" s="1"/>
      <c r="C1" s="1"/>
      <c r="D1" s="1"/>
      <c r="E1" s="1"/>
    </row>
    <row r="2" customFormat="false" ht="12.8" hidden="false" customHeight="false" outlineLevel="0" collapsed="false">
      <c r="A2" s="3" t="s">
        <v>80</v>
      </c>
      <c r="B2" s="3"/>
      <c r="C2" s="3"/>
      <c r="D2" s="3"/>
      <c r="E2" s="3"/>
    </row>
    <row r="4" customFormat="false" ht="12.8" hidden="false" customHeight="false" outlineLevel="0" collapsed="false">
      <c r="A4" s="6" t="s">
        <v>81</v>
      </c>
      <c r="B4" s="6"/>
      <c r="C4" s="6"/>
      <c r="D4" s="6"/>
      <c r="E4" s="6"/>
    </row>
    <row r="5" customFormat="false" ht="12.8" hidden="false" customHeight="false" outlineLevel="0" collapsed="false">
      <c r="A5" s="0" t="s">
        <v>82</v>
      </c>
      <c r="B5" s="10" t="n">
        <f aca="false">'P&amp;L'!F15</f>
        <v>0</v>
      </c>
    </row>
    <row r="6" customFormat="false" ht="12.8" hidden="false" customHeight="false" outlineLevel="0" collapsed="false">
      <c r="A6" s="0" t="s">
        <v>83</v>
      </c>
      <c r="B6" s="10" t="n">
        <f aca="false">'P&amp;L'!F31</f>
        <v>2040</v>
      </c>
    </row>
    <row r="7" customFormat="false" ht="12.8" hidden="false" customHeight="false" outlineLevel="0" collapsed="false">
      <c r="A7" s="0" t="s">
        <v>84</v>
      </c>
      <c r="B7" s="10" t="n">
        <f aca="false">'P&amp;L'!F41</f>
        <v>0</v>
      </c>
    </row>
    <row r="8" customFormat="false" ht="15" hidden="false" customHeight="false" outlineLevel="0" collapsed="false">
      <c r="A8" s="15" t="s">
        <v>85</v>
      </c>
      <c r="B8" s="16" t="n">
        <f aca="false">'P&amp;L'!F43</f>
        <v>-2040</v>
      </c>
    </row>
    <row r="9" customFormat="false" ht="12.8" hidden="false" customHeight="false" outlineLevel="0" collapsed="false">
      <c r="A9" s="0" t="s">
        <v>86</v>
      </c>
      <c r="B9" s="22" t="n">
        <f aca="false">IF('P&amp;L'!F15=0,0,'P&amp;L'!F43/'P&amp;L'!F15)</f>
        <v>0</v>
      </c>
    </row>
    <row r="11" customFormat="false" ht="12.8" hidden="false" customHeight="false" outlineLevel="0" collapsed="false">
      <c r="A11" s="6" t="s">
        <v>87</v>
      </c>
      <c r="B11" s="6"/>
      <c r="C11" s="6"/>
      <c r="D11" s="6"/>
      <c r="E11" s="6"/>
    </row>
    <row r="12" customFormat="false" ht="12.8" hidden="false" customHeight="false" outlineLevel="0" collapsed="false">
      <c r="A12" s="0" t="s">
        <v>88</v>
      </c>
      <c r="B12" s="8" t="n">
        <f aca="false">'P&amp;L'!F7</f>
        <v>26</v>
      </c>
    </row>
    <row r="13" customFormat="false" ht="12.8" hidden="false" customHeight="false" outlineLevel="0" collapsed="false">
      <c r="A13" s="0" t="s">
        <v>43</v>
      </c>
      <c r="B13" s="10" t="n">
        <f aca="false">'P&amp;L'!F46</f>
        <v>0</v>
      </c>
    </row>
    <row r="14" customFormat="false" ht="12.8" hidden="false" customHeight="false" outlineLevel="0" collapsed="false">
      <c r="A14" s="0" t="s">
        <v>44</v>
      </c>
      <c r="B14" s="10" t="n">
        <f aca="false">'P&amp;L'!F47</f>
        <v>78.4615384615385</v>
      </c>
    </row>
    <row r="15" customFormat="false" ht="12.8" hidden="false" customHeight="false" outlineLevel="0" collapsed="false">
      <c r="A15" s="0" t="s">
        <v>45</v>
      </c>
      <c r="B15" s="10" t="n">
        <f aca="false">'P&amp;L'!F48</f>
        <v>-78.4615384615385</v>
      </c>
    </row>
    <row r="17" customFormat="false" ht="12.8" hidden="false" customHeight="false" outlineLevel="0" collapsed="false">
      <c r="A17" s="6" t="s">
        <v>89</v>
      </c>
      <c r="B17" s="6"/>
      <c r="C17" s="6"/>
      <c r="D17" s="6"/>
      <c r="E17" s="6"/>
    </row>
    <row r="18" customFormat="false" ht="12.8" hidden="false" customHeight="false" outlineLevel="0" collapsed="false">
      <c r="A18" s="4" t="s">
        <v>50</v>
      </c>
      <c r="B18" s="5" t="s">
        <v>90</v>
      </c>
      <c r="C18" s="5" t="s">
        <v>91</v>
      </c>
      <c r="D18" s="5" t="s">
        <v>92</v>
      </c>
      <c r="E18" s="5" t="s">
        <v>93</v>
      </c>
    </row>
    <row r="19" customFormat="false" ht="12.8" hidden="false" customHeight="false" outlineLevel="0" collapsed="false">
      <c r="A19" s="13" t="str">
        <f aca="false">'P&amp;L'!B5</f>
        <v>Soybeans</v>
      </c>
      <c r="B19" s="10" t="n">
        <f aca="false">'P&amp;L'!B15</f>
        <v>0</v>
      </c>
      <c r="C19" s="10" t="n">
        <f aca="false">'P&amp;L'!B31+'P&amp;L'!B41</f>
        <v>2025</v>
      </c>
      <c r="D19" s="11" t="n">
        <f aca="false">'P&amp;L'!B43</f>
        <v>-2025</v>
      </c>
      <c r="E19" s="10" t="n">
        <f aca="false">'P&amp;L'!B48</f>
        <v>-77.8846153846154</v>
      </c>
    </row>
    <row r="20" customFormat="false" ht="12.8" hidden="false" customHeight="false" outlineLevel="0" collapsed="false">
      <c r="A20" s="13" t="str">
        <f aca="false">'P&amp;L'!C5</f>
        <v>Corn</v>
      </c>
      <c r="B20" s="10" t="n">
        <f aca="false">'P&amp;L'!C15</f>
        <v>0</v>
      </c>
      <c r="C20" s="10" t="n">
        <f aca="false">'P&amp;L'!C31+'P&amp;L'!C41</f>
        <v>0</v>
      </c>
      <c r="D20" s="11" t="n">
        <f aca="false">'P&amp;L'!C43</f>
        <v>0</v>
      </c>
      <c r="E20" s="10" t="n">
        <f aca="false">'P&amp;L'!C48</f>
        <v>0</v>
      </c>
    </row>
    <row r="21" customFormat="false" ht="12.8" hidden="false" customHeight="false" outlineLevel="0" collapsed="false">
      <c r="A21" s="13" t="str">
        <f aca="false">'P&amp;L'!D5</f>
        <v>Hay</v>
      </c>
      <c r="B21" s="10" t="n">
        <f aca="false">'P&amp;L'!D15</f>
        <v>0</v>
      </c>
      <c r="C21" s="10" t="n">
        <f aca="false">'P&amp;L'!D31+'P&amp;L'!D41</f>
        <v>0</v>
      </c>
      <c r="D21" s="11" t="n">
        <f aca="false">'P&amp;L'!D43</f>
        <v>0</v>
      </c>
      <c r="E21" s="10" t="n">
        <f aca="false">'P&amp;L'!D48</f>
        <v>0</v>
      </c>
    </row>
    <row r="22" customFormat="false" ht="12.8" hidden="false" customHeight="false" outlineLevel="0" collapsed="false">
      <c r="A22" s="13" t="str">
        <f aca="false">'P&amp;L'!E5</f>
        <v>No Crop</v>
      </c>
      <c r="B22" s="10" t="n">
        <f aca="false">'P&amp;L'!E15</f>
        <v>0</v>
      </c>
      <c r="C22" s="10" t="n">
        <f aca="false">'P&amp;L'!E31+'P&amp;L'!E41</f>
        <v>15</v>
      </c>
      <c r="D22" s="11" t="n">
        <f aca="false">'P&amp;L'!E43</f>
        <v>-15</v>
      </c>
      <c r="E22" s="10" t="n">
        <f aca="false">'P&amp;L'!E48</f>
        <v>0</v>
      </c>
    </row>
  </sheetData>
  <mergeCells count="5">
    <mergeCell ref="A1:E1"/>
    <mergeCell ref="A2:E2"/>
    <mergeCell ref="A4:E4"/>
    <mergeCell ref="A11:E11"/>
    <mergeCell ref="A17:E17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2026-06-08T11:38:16Z</dcterms:modified>
  <cp:revision>1</cp:revision>
  <dc:subject/>
  <dc:title>2026 Farming Ventures - Costs &amp; Profits</dc:title>
</cp:coreProperties>
</file>